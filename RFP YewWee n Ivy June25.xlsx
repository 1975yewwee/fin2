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88695\Documents\RFP\"/>
    </mc:Choice>
  </mc:AlternateContent>
  <xr:revisionPtr revIDLastSave="0" documentId="13_ncr:1_{E5BFBC5E-7D78-4942-B1B7-3254C95296EC}" xr6:coauthVersionLast="47" xr6:coauthVersionMax="47" xr10:uidLastSave="{00000000-0000-0000-0000-000000000000}"/>
  <bookViews>
    <workbookView xWindow="-93" yWindow="-93" windowWidth="25786" windowHeight="13986" activeTab="7" xr2:uid="{00000000-000D-0000-FFFF-FFFF00000000}"/>
  </bookViews>
  <sheets>
    <sheet name="CashFlow" sheetId="1" r:id="rId1"/>
    <sheet name="Net Worth" sheetId="3" r:id="rId2"/>
    <sheet name="Loan" sheetId="4" r:id="rId3"/>
    <sheet name="Risk" sheetId="5" r:id="rId4"/>
    <sheet name="Education" sheetId="6" r:id="rId5"/>
    <sheet name="Tax" sheetId="7" r:id="rId6"/>
    <sheet name="Retirement" sheetId="8" r:id="rId7"/>
    <sheet name="Investment" sheetId="10" r:id="rId8"/>
    <sheet name="Fin Ratio" sheetId="9" r:id="rId9"/>
    <sheet name="Coverage" sheetId="11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7" i="10" l="1"/>
  <c r="M16" i="10"/>
  <c r="M12" i="10"/>
  <c r="M11" i="10"/>
  <c r="M10" i="10"/>
  <c r="M9" i="10"/>
  <c r="M8" i="10"/>
  <c r="M5" i="10"/>
  <c r="M4" i="10"/>
  <c r="N17" i="10"/>
  <c r="P17" i="10" s="1"/>
  <c r="M18" i="10"/>
  <c r="P13" i="10"/>
  <c r="N13" i="10"/>
  <c r="N12" i="10"/>
  <c r="P12" i="10" s="1"/>
  <c r="N11" i="10"/>
  <c r="P11" i="10" s="1"/>
  <c r="N10" i="10"/>
  <c r="P10" i="10" s="1"/>
  <c r="N9" i="10"/>
  <c r="P9" i="10" s="1"/>
  <c r="N8" i="10"/>
  <c r="P8" i="10" s="1"/>
  <c r="P7" i="10"/>
  <c r="N7" i="10"/>
  <c r="N6" i="10"/>
  <c r="P6" i="10" s="1"/>
  <c r="N5" i="10"/>
  <c r="P5" i="10" s="1"/>
  <c r="M14" i="10"/>
  <c r="I17" i="10"/>
  <c r="I16" i="10"/>
  <c r="P68" i="10"/>
  <c r="Q68" i="10"/>
  <c r="R68" i="10"/>
  <c r="O68" i="10"/>
  <c r="P67" i="10"/>
  <c r="R67" i="10" s="1"/>
  <c r="Q67" i="10"/>
  <c r="O67" i="10"/>
  <c r="E89" i="10"/>
  <c r="D89" i="10"/>
  <c r="F89" i="10"/>
  <c r="E88" i="10"/>
  <c r="D88" i="10"/>
  <c r="F88" i="10"/>
  <c r="P65" i="10"/>
  <c r="Q40" i="10"/>
  <c r="Q41" i="10"/>
  <c r="Q44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90" i="10"/>
  <c r="D91" i="10"/>
  <c r="D92" i="10"/>
  <c r="D93" i="10"/>
  <c r="D94" i="10"/>
  <c r="D66" i="10"/>
  <c r="D67" i="10"/>
  <c r="D68" i="10"/>
  <c r="D69" i="10"/>
  <c r="D70" i="10"/>
  <c r="D71" i="10"/>
  <c r="D65" i="10"/>
  <c r="E46" i="10"/>
  <c r="E47" i="10"/>
  <c r="E48" i="10"/>
  <c r="E49" i="10"/>
  <c r="E50" i="10"/>
  <c r="E51" i="10"/>
  <c r="E52" i="10"/>
  <c r="E53" i="10"/>
  <c r="E54" i="10"/>
  <c r="Q42" i="10" s="1"/>
  <c r="E55" i="10"/>
  <c r="Q43" i="10" s="1"/>
  <c r="E56" i="10"/>
  <c r="E57" i="10"/>
  <c r="E58" i="10"/>
  <c r="Q39" i="10" s="1"/>
  <c r="E40" i="10"/>
  <c r="O44" i="10" s="1"/>
  <c r="E41" i="10"/>
  <c r="E42" i="10"/>
  <c r="E43" i="10"/>
  <c r="E44" i="10"/>
  <c r="E45" i="10"/>
  <c r="E39" i="10"/>
  <c r="E32" i="10"/>
  <c r="E33" i="10"/>
  <c r="E34" i="10"/>
  <c r="E35" i="10"/>
  <c r="E36" i="10"/>
  <c r="E37" i="10"/>
  <c r="F37" i="10" s="1"/>
  <c r="E38" i="10"/>
  <c r="F38" i="10" s="1"/>
  <c r="E31" i="10"/>
  <c r="E30" i="10"/>
  <c r="O42" i="10" s="1"/>
  <c r="E29" i="10"/>
  <c r="E25" i="10"/>
  <c r="E26" i="10"/>
  <c r="E27" i="10"/>
  <c r="E28" i="10"/>
  <c r="P41" i="10" s="1"/>
  <c r="R41" i="10" s="1"/>
  <c r="E24" i="10"/>
  <c r="P39" i="10" s="1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25" i="10"/>
  <c r="D26" i="10"/>
  <c r="D27" i="10"/>
  <c r="D28" i="10"/>
  <c r="D29" i="10"/>
  <c r="D30" i="10"/>
  <c r="D31" i="10"/>
  <c r="D24" i="10"/>
  <c r="E72" i="10"/>
  <c r="E73" i="10"/>
  <c r="E75" i="10"/>
  <c r="E74" i="10"/>
  <c r="E71" i="10"/>
  <c r="E70" i="10"/>
  <c r="E69" i="10"/>
  <c r="E68" i="10"/>
  <c r="E67" i="10"/>
  <c r="E66" i="10"/>
  <c r="E65" i="10"/>
  <c r="F91" i="10"/>
  <c r="F92" i="10"/>
  <c r="F93" i="10"/>
  <c r="F94" i="10"/>
  <c r="F90" i="10"/>
  <c r="F77" i="10"/>
  <c r="F78" i="10"/>
  <c r="F79" i="10"/>
  <c r="F80" i="10"/>
  <c r="F86" i="10"/>
  <c r="F76" i="10"/>
  <c r="F67" i="10"/>
  <c r="F68" i="10"/>
  <c r="F69" i="10"/>
  <c r="F70" i="10"/>
  <c r="F71" i="10"/>
  <c r="F72" i="10"/>
  <c r="F73" i="10"/>
  <c r="F74" i="10"/>
  <c r="F75" i="10"/>
  <c r="F66" i="10"/>
  <c r="F56" i="10"/>
  <c r="F53" i="10"/>
  <c r="F52" i="10"/>
  <c r="F51" i="10"/>
  <c r="F50" i="10"/>
  <c r="F49" i="10"/>
  <c r="F31" i="10"/>
  <c r="F30" i="10"/>
  <c r="F29" i="10"/>
  <c r="F28" i="10"/>
  <c r="F27" i="10"/>
  <c r="F26" i="10"/>
  <c r="F25" i="10"/>
  <c r="F36" i="10"/>
  <c r="F35" i="10"/>
  <c r="F34" i="10"/>
  <c r="F33" i="10"/>
  <c r="F32" i="10"/>
  <c r="F39" i="10"/>
  <c r="F45" i="10"/>
  <c r="F46" i="10"/>
  <c r="F47" i="10"/>
  <c r="F48" i="10"/>
  <c r="F44" i="10"/>
  <c r="F40" i="10"/>
  <c r="F41" i="10"/>
  <c r="F42" i="10"/>
  <c r="F43" i="10"/>
  <c r="K34" i="10"/>
  <c r="J34" i="10"/>
  <c r="E87" i="10"/>
  <c r="E86" i="10"/>
  <c r="E85" i="10"/>
  <c r="E79" i="10"/>
  <c r="E80" i="10"/>
  <c r="E81" i="10"/>
  <c r="E82" i="10"/>
  <c r="E83" i="10"/>
  <c r="E84" i="10"/>
  <c r="E78" i="10"/>
  <c r="E76" i="10"/>
  <c r="E77" i="10"/>
  <c r="E94" i="10"/>
  <c r="Q66" i="10" s="1"/>
  <c r="E92" i="10"/>
  <c r="E91" i="10"/>
  <c r="Q65" i="10" s="1"/>
  <c r="F55" i="10"/>
  <c r="F57" i="10"/>
  <c r="F54" i="10"/>
  <c r="E19" i="9"/>
  <c r="F19" i="9" s="1"/>
  <c r="K102" i="10"/>
  <c r="K103" i="10"/>
  <c r="K104" i="10"/>
  <c r="K105" i="10"/>
  <c r="K106" i="10"/>
  <c r="K107" i="10"/>
  <c r="K108" i="10"/>
  <c r="K109" i="10"/>
  <c r="K110" i="10"/>
  <c r="K111" i="10"/>
  <c r="K112" i="10"/>
  <c r="K113" i="10"/>
  <c r="K114" i="10"/>
  <c r="K115" i="10"/>
  <c r="K116" i="10"/>
  <c r="K117" i="10"/>
  <c r="K118" i="10"/>
  <c r="K119" i="10"/>
  <c r="K120" i="10"/>
  <c r="K121" i="10"/>
  <c r="K122" i="10"/>
  <c r="K123" i="10"/>
  <c r="K124" i="10"/>
  <c r="K125" i="10"/>
  <c r="K126" i="10"/>
  <c r="K127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E126" i="10"/>
  <c r="E127" i="10"/>
  <c r="G126" i="10"/>
  <c r="G127" i="10"/>
  <c r="E125" i="10"/>
  <c r="G125" i="10"/>
  <c r="E124" i="10"/>
  <c r="G124" i="10"/>
  <c r="E123" i="10"/>
  <c r="G123" i="10"/>
  <c r="E122" i="10"/>
  <c r="G122" i="10"/>
  <c r="E121" i="10"/>
  <c r="G121" i="10"/>
  <c r="E120" i="10"/>
  <c r="G120" i="10"/>
  <c r="E119" i="10"/>
  <c r="G119" i="10"/>
  <c r="E118" i="10"/>
  <c r="G118" i="10"/>
  <c r="E117" i="10"/>
  <c r="G117" i="10"/>
  <c r="E116" i="10"/>
  <c r="G116" i="10"/>
  <c r="E115" i="10"/>
  <c r="G115" i="10"/>
  <c r="E114" i="10"/>
  <c r="G114" i="10"/>
  <c r="E113" i="10"/>
  <c r="G113" i="10"/>
  <c r="E112" i="10"/>
  <c r="G112" i="10"/>
  <c r="E111" i="10"/>
  <c r="G111" i="10"/>
  <c r="E110" i="10"/>
  <c r="G110" i="10"/>
  <c r="E109" i="10"/>
  <c r="G109" i="10"/>
  <c r="E108" i="10"/>
  <c r="G108" i="10"/>
  <c r="E107" i="10"/>
  <c r="G107" i="10"/>
  <c r="K101" i="10"/>
  <c r="H106" i="10"/>
  <c r="G106" i="10"/>
  <c r="E106" i="10"/>
  <c r="G102" i="10"/>
  <c r="G103" i="10"/>
  <c r="G104" i="10"/>
  <c r="G105" i="10"/>
  <c r="E105" i="10"/>
  <c r="E102" i="10"/>
  <c r="E103" i="10"/>
  <c r="E104" i="10"/>
  <c r="H102" i="10"/>
  <c r="H103" i="10"/>
  <c r="H104" i="10"/>
  <c r="H105" i="10"/>
  <c r="H101" i="10"/>
  <c r="G101" i="10"/>
  <c r="E101" i="10"/>
  <c r="J6" i="11"/>
  <c r="F28" i="9"/>
  <c r="E28" i="9"/>
  <c r="D28" i="9"/>
  <c r="F25" i="9"/>
  <c r="E25" i="9"/>
  <c r="D25" i="9"/>
  <c r="F22" i="9"/>
  <c r="E22" i="9"/>
  <c r="D22" i="9"/>
  <c r="D19" i="9"/>
  <c r="F16" i="9"/>
  <c r="E16" i="9"/>
  <c r="D16" i="9"/>
  <c r="F13" i="9"/>
  <c r="E13" i="9"/>
  <c r="D13" i="9"/>
  <c r="F10" i="9"/>
  <c r="E10" i="9"/>
  <c r="D10" i="9"/>
  <c r="F7" i="9"/>
  <c r="E7" i="9"/>
  <c r="D7" i="9"/>
  <c r="F4" i="9"/>
  <c r="E4" i="9"/>
  <c r="D4" i="9"/>
  <c r="C17" i="10"/>
  <c r="K31" i="8" s="1"/>
  <c r="L31" i="8" s="1"/>
  <c r="I18" i="10"/>
  <c r="C16" i="10"/>
  <c r="K39" i="8" s="1"/>
  <c r="L39" i="8" s="1"/>
  <c r="C13" i="10"/>
  <c r="C12" i="10"/>
  <c r="K38" i="8" s="1"/>
  <c r="L38" i="8" s="1"/>
  <c r="C11" i="10"/>
  <c r="K37" i="8" s="1"/>
  <c r="L37" i="8" s="1"/>
  <c r="C10" i="10"/>
  <c r="K36" i="8" s="1"/>
  <c r="L36" i="8" s="1"/>
  <c r="C9" i="10"/>
  <c r="K35" i="8" s="1"/>
  <c r="L35" i="8" s="1"/>
  <c r="C8" i="10"/>
  <c r="K34" i="8" s="1"/>
  <c r="L34" i="8" s="1"/>
  <c r="C7" i="10"/>
  <c r="C6" i="10"/>
  <c r="K33" i="8" s="1"/>
  <c r="L33" i="8" s="1"/>
  <c r="C5" i="10"/>
  <c r="K32" i="8" s="1"/>
  <c r="L32" i="8" s="1"/>
  <c r="C4" i="10"/>
  <c r="T48" i="8"/>
  <c r="S46" i="8"/>
  <c r="H46" i="8"/>
  <c r="T44" i="8"/>
  <c r="T43" i="8"/>
  <c r="L42" i="8"/>
  <c r="K42" i="8"/>
  <c r="H42" i="8"/>
  <c r="L41" i="8"/>
  <c r="K41" i="8"/>
  <c r="H41" i="8"/>
  <c r="H39" i="8"/>
  <c r="H38" i="8"/>
  <c r="H37" i="8"/>
  <c r="H36" i="8"/>
  <c r="H35" i="8"/>
  <c r="H34" i="8"/>
  <c r="H33" i="8"/>
  <c r="H32" i="8"/>
  <c r="H31" i="8"/>
  <c r="T29" i="8"/>
  <c r="L29" i="8"/>
  <c r="S28" i="8"/>
  <c r="L28" i="8"/>
  <c r="H28" i="8"/>
  <c r="L26" i="8"/>
  <c r="H26" i="8"/>
  <c r="L25" i="8"/>
  <c r="H25" i="8"/>
  <c r="S24" i="8"/>
  <c r="L24" i="8"/>
  <c r="H24" i="8"/>
  <c r="L22" i="8"/>
  <c r="H22" i="8"/>
  <c r="L21" i="8"/>
  <c r="H21" i="8"/>
  <c r="D17" i="8"/>
  <c r="D15" i="8"/>
  <c r="C15" i="8"/>
  <c r="L13" i="8"/>
  <c r="J12" i="8"/>
  <c r="L11" i="8"/>
  <c r="J10" i="8"/>
  <c r="L8" i="8"/>
  <c r="J8" i="8"/>
  <c r="L7" i="8"/>
  <c r="J7" i="8"/>
  <c r="T3" i="8"/>
  <c r="R3" i="8"/>
  <c r="Q3" i="8"/>
  <c r="O3" i="8"/>
  <c r="G3" i="8"/>
  <c r="H41" i="7"/>
  <c r="D41" i="7"/>
  <c r="H40" i="7"/>
  <c r="G40" i="7"/>
  <c r="D40" i="7"/>
  <c r="C40" i="7"/>
  <c r="H39" i="7"/>
  <c r="G38" i="7"/>
  <c r="D38" i="7"/>
  <c r="C38" i="7"/>
  <c r="H34" i="7"/>
  <c r="G34" i="7"/>
  <c r="D34" i="7"/>
  <c r="C34" i="7"/>
  <c r="H33" i="7"/>
  <c r="G33" i="7"/>
  <c r="D33" i="7"/>
  <c r="C33" i="7"/>
  <c r="H12" i="7"/>
  <c r="G12" i="7"/>
  <c r="D12" i="7"/>
  <c r="C12" i="7"/>
  <c r="H8" i="7"/>
  <c r="G8" i="7"/>
  <c r="D8" i="7"/>
  <c r="C8" i="7"/>
  <c r="H14" i="6"/>
  <c r="F14" i="6"/>
  <c r="G3" i="6"/>
  <c r="L35" i="5"/>
  <c r="F35" i="5"/>
  <c r="L34" i="5"/>
  <c r="F34" i="5"/>
  <c r="F31" i="5"/>
  <c r="F30" i="5"/>
  <c r="F28" i="5"/>
  <c r="F27" i="5"/>
  <c r="L24" i="5"/>
  <c r="F24" i="5"/>
  <c r="L23" i="5"/>
  <c r="F23" i="5"/>
  <c r="F22" i="5"/>
  <c r="F21" i="5"/>
  <c r="F19" i="5"/>
  <c r="E19" i="5"/>
  <c r="F16" i="5"/>
  <c r="D16" i="5"/>
  <c r="C16" i="5"/>
  <c r="B16" i="5"/>
  <c r="K15" i="5"/>
  <c r="J15" i="5"/>
  <c r="I15" i="5"/>
  <c r="F15" i="5"/>
  <c r="E15" i="5"/>
  <c r="D15" i="5"/>
  <c r="C15" i="5"/>
  <c r="B15" i="5"/>
  <c r="L11" i="5"/>
  <c r="F11" i="5"/>
  <c r="F10" i="5"/>
  <c r="F9" i="5"/>
  <c r="L7" i="5"/>
  <c r="J7" i="5"/>
  <c r="F7" i="5"/>
  <c r="D7" i="5"/>
  <c r="F6" i="5"/>
  <c r="D6" i="5"/>
  <c r="P20" i="4"/>
  <c r="H20" i="4"/>
  <c r="P19" i="4"/>
  <c r="H19" i="4"/>
  <c r="P18" i="4"/>
  <c r="H18" i="4"/>
  <c r="P16" i="4"/>
  <c r="O16" i="4"/>
  <c r="N16" i="4"/>
  <c r="M16" i="4"/>
  <c r="H16" i="4"/>
  <c r="G16" i="4"/>
  <c r="F16" i="4"/>
  <c r="E16" i="4"/>
  <c r="O14" i="4"/>
  <c r="G14" i="4"/>
  <c r="P13" i="4"/>
  <c r="H13" i="4"/>
  <c r="P12" i="4"/>
  <c r="H12" i="4"/>
  <c r="P11" i="4"/>
  <c r="O11" i="4"/>
  <c r="N11" i="4"/>
  <c r="M11" i="4"/>
  <c r="H11" i="4"/>
  <c r="G11" i="4"/>
  <c r="F11" i="4"/>
  <c r="E11" i="4"/>
  <c r="L8" i="4"/>
  <c r="D8" i="4"/>
  <c r="J57" i="3"/>
  <c r="I57" i="3"/>
  <c r="H57" i="3"/>
  <c r="J56" i="3"/>
  <c r="H56" i="3"/>
  <c r="J55" i="3"/>
  <c r="H55" i="3"/>
  <c r="I54" i="3"/>
  <c r="H54" i="3"/>
  <c r="I53" i="3"/>
  <c r="H53" i="3"/>
  <c r="H52" i="3"/>
  <c r="H51" i="3"/>
  <c r="H50" i="3"/>
  <c r="J49" i="3"/>
  <c r="I49" i="3"/>
  <c r="H49" i="3"/>
  <c r="H48" i="3"/>
  <c r="H47" i="3"/>
  <c r="J29" i="3"/>
  <c r="E29" i="3"/>
  <c r="D29" i="3"/>
  <c r="C29" i="3"/>
  <c r="J28" i="3"/>
  <c r="E28" i="3"/>
  <c r="D28" i="3"/>
  <c r="C28" i="3"/>
  <c r="J27" i="3"/>
  <c r="E27" i="3"/>
  <c r="J26" i="3"/>
  <c r="E26" i="3"/>
  <c r="J25" i="3"/>
  <c r="E25" i="3"/>
  <c r="D25" i="3"/>
  <c r="C25" i="3"/>
  <c r="J24" i="3"/>
  <c r="E24" i="3"/>
  <c r="J23" i="3"/>
  <c r="E23" i="3"/>
  <c r="D23" i="3"/>
  <c r="C23" i="3"/>
  <c r="J22" i="3"/>
  <c r="J21" i="3"/>
  <c r="E21" i="3"/>
  <c r="D21" i="3"/>
  <c r="C21" i="3"/>
  <c r="E20" i="3"/>
  <c r="E19" i="3"/>
  <c r="E18" i="3"/>
  <c r="D18" i="3"/>
  <c r="C18" i="3"/>
  <c r="E17" i="3"/>
  <c r="C17" i="3"/>
  <c r="M16" i="3"/>
  <c r="E16" i="3"/>
  <c r="D16" i="3"/>
  <c r="C16" i="3"/>
  <c r="M15" i="3"/>
  <c r="K15" i="3"/>
  <c r="J15" i="3"/>
  <c r="I15" i="3"/>
  <c r="E15" i="3"/>
  <c r="C15" i="3"/>
  <c r="E14" i="3"/>
  <c r="C14" i="3"/>
  <c r="M13" i="3"/>
  <c r="K13" i="3"/>
  <c r="J13" i="3"/>
  <c r="I13" i="3"/>
  <c r="E13" i="3"/>
  <c r="D13" i="3"/>
  <c r="C13" i="3"/>
  <c r="E11" i="3"/>
  <c r="D11" i="3"/>
  <c r="C11" i="3"/>
  <c r="E10" i="3"/>
  <c r="E9" i="3"/>
  <c r="C9" i="3"/>
  <c r="E8" i="3"/>
  <c r="M7" i="3"/>
  <c r="K7" i="3"/>
  <c r="J7" i="3"/>
  <c r="I7" i="3"/>
  <c r="E7" i="3"/>
  <c r="K6" i="3"/>
  <c r="E6" i="3"/>
  <c r="D6" i="3"/>
  <c r="C6" i="3"/>
  <c r="L43" i="1"/>
  <c r="L42" i="1"/>
  <c r="K42" i="1"/>
  <c r="J42" i="1"/>
  <c r="G42" i="1"/>
  <c r="M40" i="1"/>
  <c r="L40" i="1"/>
  <c r="K40" i="1"/>
  <c r="J40" i="1"/>
  <c r="G40" i="1"/>
  <c r="F40" i="1"/>
  <c r="E40" i="1"/>
  <c r="D40" i="1"/>
  <c r="C40" i="1"/>
  <c r="M39" i="1"/>
  <c r="L39" i="1"/>
  <c r="K39" i="1"/>
  <c r="J39" i="1"/>
  <c r="G39" i="1"/>
  <c r="F39" i="1"/>
  <c r="E39" i="1"/>
  <c r="D39" i="1"/>
  <c r="C39" i="1"/>
  <c r="M38" i="1"/>
  <c r="L38" i="1"/>
  <c r="K38" i="1"/>
  <c r="J38" i="1"/>
  <c r="G38" i="1"/>
  <c r="F38" i="1"/>
  <c r="E38" i="1"/>
  <c r="D38" i="1"/>
  <c r="C38" i="1"/>
  <c r="L37" i="1"/>
  <c r="G37" i="1"/>
  <c r="F37" i="1"/>
  <c r="E37" i="1"/>
  <c r="L36" i="1"/>
  <c r="G36" i="1"/>
  <c r="F36" i="1"/>
  <c r="E36" i="1"/>
  <c r="L35" i="1"/>
  <c r="G35" i="1"/>
  <c r="F35" i="1"/>
  <c r="E35" i="1"/>
  <c r="C35" i="1"/>
  <c r="L34" i="1"/>
  <c r="G34" i="1"/>
  <c r="F34" i="1"/>
  <c r="E34" i="1"/>
  <c r="L33" i="1"/>
  <c r="G33" i="1"/>
  <c r="F33" i="1"/>
  <c r="E33" i="1"/>
  <c r="L32" i="1"/>
  <c r="G32" i="1"/>
  <c r="F32" i="1"/>
  <c r="E32" i="1"/>
  <c r="D32" i="1"/>
  <c r="C32" i="1"/>
  <c r="L31" i="1"/>
  <c r="G31" i="1"/>
  <c r="F31" i="1"/>
  <c r="E31" i="1"/>
  <c r="L30" i="1"/>
  <c r="G30" i="1"/>
  <c r="F30" i="1"/>
  <c r="E30" i="1"/>
  <c r="C30" i="1"/>
  <c r="M28" i="1"/>
  <c r="L28" i="1"/>
  <c r="K28" i="1"/>
  <c r="J28" i="1"/>
  <c r="G28" i="1"/>
  <c r="F28" i="1"/>
  <c r="E28" i="1"/>
  <c r="D28" i="1"/>
  <c r="C28" i="1"/>
  <c r="L27" i="1"/>
  <c r="F27" i="1"/>
  <c r="E27" i="1"/>
  <c r="L26" i="1"/>
  <c r="F26" i="1"/>
  <c r="E26" i="1"/>
  <c r="D26" i="1"/>
  <c r="C26" i="1"/>
  <c r="L25" i="1"/>
  <c r="F25" i="1"/>
  <c r="E25" i="1"/>
  <c r="C25" i="1"/>
  <c r="L24" i="1"/>
  <c r="F24" i="1"/>
  <c r="E24" i="1"/>
  <c r="L23" i="1"/>
  <c r="K23" i="1"/>
  <c r="J23" i="1"/>
  <c r="G23" i="1"/>
  <c r="F23" i="1"/>
  <c r="E23" i="1"/>
  <c r="L22" i="1"/>
  <c r="F22" i="1"/>
  <c r="E22" i="1"/>
  <c r="C22" i="1"/>
  <c r="L21" i="1"/>
  <c r="G21" i="1"/>
  <c r="F21" i="1"/>
  <c r="E21" i="1"/>
  <c r="L20" i="1"/>
  <c r="G20" i="1"/>
  <c r="F20" i="1"/>
  <c r="E20" i="1"/>
  <c r="C20" i="1"/>
  <c r="M17" i="1"/>
  <c r="L17" i="1"/>
  <c r="K17" i="1"/>
  <c r="J17" i="1"/>
  <c r="F17" i="1"/>
  <c r="E17" i="1"/>
  <c r="D17" i="1"/>
  <c r="C17" i="1"/>
  <c r="L16" i="1"/>
  <c r="F16" i="1"/>
  <c r="E16" i="1"/>
  <c r="L15" i="1"/>
  <c r="F15" i="1"/>
  <c r="E15" i="1"/>
  <c r="C15" i="1"/>
  <c r="L14" i="1"/>
  <c r="F14" i="1"/>
  <c r="E14" i="1"/>
  <c r="M13" i="1"/>
  <c r="L13" i="1"/>
  <c r="K13" i="1"/>
  <c r="J13" i="1"/>
  <c r="F13" i="1"/>
  <c r="E13" i="1"/>
  <c r="D13" i="1"/>
  <c r="C13" i="1"/>
  <c r="L12" i="1"/>
  <c r="F12" i="1"/>
  <c r="E12" i="1"/>
  <c r="D12" i="1"/>
  <c r="C12" i="1"/>
  <c r="L11" i="1"/>
  <c r="F11" i="1"/>
  <c r="E11" i="1"/>
  <c r="D11" i="1"/>
  <c r="C11" i="1"/>
  <c r="L10" i="1"/>
  <c r="F10" i="1"/>
  <c r="E10" i="1"/>
  <c r="D10" i="1"/>
  <c r="C10" i="1"/>
  <c r="L9" i="1"/>
  <c r="K9" i="1"/>
  <c r="J9" i="1"/>
  <c r="F9" i="1"/>
  <c r="E9" i="1"/>
  <c r="D9" i="1"/>
  <c r="C9" i="1"/>
  <c r="L8" i="1"/>
  <c r="F8" i="1"/>
  <c r="E8" i="1"/>
  <c r="D8" i="1"/>
  <c r="C8" i="1"/>
  <c r="L7" i="1"/>
  <c r="F7" i="1"/>
  <c r="E7" i="1"/>
  <c r="L6" i="1"/>
  <c r="F6" i="1"/>
  <c r="E6" i="1"/>
  <c r="D6" i="1"/>
  <c r="C6" i="1"/>
  <c r="M19" i="10" l="1"/>
  <c r="N14" i="10" s="1"/>
  <c r="N16" i="10"/>
  <c r="P16" i="10" s="1"/>
  <c r="P18" i="10" s="1"/>
  <c r="N4" i="10"/>
  <c r="P4" i="10" s="1"/>
  <c r="P14" i="10" s="1"/>
  <c r="P19" i="10" s="1"/>
  <c r="P40" i="10"/>
  <c r="R40" i="10" s="1"/>
  <c r="O41" i="10"/>
  <c r="O43" i="10"/>
  <c r="O39" i="10"/>
  <c r="P66" i="10"/>
  <c r="H128" i="10"/>
  <c r="Q101" i="10"/>
  <c r="I10" i="10"/>
  <c r="Q45" i="10"/>
  <c r="R65" i="10"/>
  <c r="O40" i="10"/>
  <c r="O45" i="10" s="1"/>
  <c r="O66" i="10"/>
  <c r="P101" i="10"/>
  <c r="P44" i="10"/>
  <c r="O65" i="10"/>
  <c r="I5" i="10"/>
  <c r="P43" i="10"/>
  <c r="P42" i="10"/>
  <c r="R39" i="10"/>
  <c r="D59" i="10"/>
  <c r="D95" i="10"/>
  <c r="E95" i="10"/>
  <c r="E59" i="10"/>
  <c r="F82" i="10"/>
  <c r="F81" i="10"/>
  <c r="F87" i="10"/>
  <c r="F85" i="10"/>
  <c r="F84" i="10"/>
  <c r="F83" i="10"/>
  <c r="C18" i="10"/>
  <c r="L43" i="8"/>
  <c r="C14" i="10"/>
  <c r="N18" i="10" l="1"/>
  <c r="R66" i="10"/>
  <c r="I12" i="10"/>
  <c r="O101" i="10"/>
  <c r="R43" i="10"/>
  <c r="I11" i="10"/>
  <c r="R42" i="10"/>
  <c r="I4" i="10"/>
  <c r="I8" i="10"/>
  <c r="P45" i="10"/>
  <c r="R44" i="10"/>
  <c r="I9" i="10"/>
  <c r="F59" i="10"/>
  <c r="F95" i="10"/>
  <c r="I3" i="8"/>
  <c r="L44" i="8"/>
  <c r="C19" i="10"/>
  <c r="R45" i="10" l="1"/>
  <c r="I14" i="10"/>
  <c r="D10" i="10"/>
  <c r="F10" i="10" s="1"/>
  <c r="D7" i="10"/>
  <c r="F7" i="10" s="1"/>
  <c r="D17" i="10"/>
  <c r="F17" i="10" s="1"/>
  <c r="D4" i="10"/>
  <c r="F4" i="10" s="1"/>
  <c r="D5" i="10"/>
  <c r="F5" i="10" s="1"/>
  <c r="D8" i="10"/>
  <c r="F8" i="10" s="1"/>
  <c r="D16" i="10"/>
  <c r="F16" i="10" s="1"/>
  <c r="D6" i="10"/>
  <c r="F6" i="10" s="1"/>
  <c r="D11" i="10"/>
  <c r="F11" i="10" s="1"/>
  <c r="D18" i="10"/>
  <c r="D13" i="10"/>
  <c r="F13" i="10" s="1"/>
  <c r="D9" i="10"/>
  <c r="F9" i="10" s="1"/>
  <c r="D12" i="10"/>
  <c r="F12" i="10" s="1"/>
  <c r="D14" i="10"/>
  <c r="K46" i="8"/>
  <c r="L46" i="8" s="1"/>
  <c r="L3" i="8" s="1"/>
  <c r="J3" i="8"/>
  <c r="I19" i="10" l="1"/>
  <c r="F18" i="10"/>
  <c r="F14" i="10"/>
  <c r="J18" i="10" l="1"/>
  <c r="J11" i="10"/>
  <c r="L11" i="10" s="1"/>
  <c r="J10" i="10"/>
  <c r="L10" i="10" s="1"/>
  <c r="J16" i="10"/>
  <c r="L16" i="10" s="1"/>
  <c r="J13" i="10"/>
  <c r="L13" i="10" s="1"/>
  <c r="J17" i="10"/>
  <c r="L17" i="10" s="1"/>
  <c r="J7" i="10"/>
  <c r="L7" i="10" s="1"/>
  <c r="J9" i="10"/>
  <c r="L9" i="10" s="1"/>
  <c r="J6" i="10"/>
  <c r="L6" i="10" s="1"/>
  <c r="J5" i="10"/>
  <c r="L5" i="10" s="1"/>
  <c r="J8" i="10"/>
  <c r="L8" i="10" s="1"/>
  <c r="J12" i="10"/>
  <c r="L12" i="10" s="1"/>
  <c r="J4" i="10"/>
  <c r="L4" i="10" s="1"/>
  <c r="J14" i="10"/>
  <c r="F19" i="10"/>
  <c r="F24" i="10"/>
  <c r="F58" i="10"/>
  <c r="F65" i="10"/>
  <c r="L14" i="10" l="1"/>
  <c r="L18" i="10"/>
  <c r="L19" i="10" l="1"/>
</calcChain>
</file>

<file path=xl/sharedStrings.xml><?xml version="1.0" encoding="utf-8"?>
<sst xmlns="http://schemas.openxmlformats.org/spreadsheetml/2006/main" count="2010" uniqueCount="483">
  <si>
    <t>CURRENT - Statement of Cash Flow</t>
  </si>
  <si>
    <t>Revised - Statement of Cash Flow</t>
  </si>
  <si>
    <r>
      <t xml:space="preserve">As of </t>
    </r>
    <r>
      <rPr>
        <sz val="9"/>
        <color rgb="FFFFFF00"/>
        <rFont val="Arial"/>
        <family val="2"/>
      </rPr>
      <t>June 2025</t>
    </r>
  </si>
  <si>
    <t>As of 31 December 2024</t>
  </si>
  <si>
    <t>CASH INFLOWS</t>
  </si>
  <si>
    <t>Self</t>
  </si>
  <si>
    <t>Spouse</t>
  </si>
  <si>
    <t>Combined</t>
  </si>
  <si>
    <t>Monthly</t>
  </si>
  <si>
    <t>Inflow (I)</t>
  </si>
  <si>
    <t>Self (A)</t>
  </si>
  <si>
    <t>Spouse (B)</t>
  </si>
  <si>
    <t>Combined (A+B)</t>
  </si>
  <si>
    <t>Gross Annual Income</t>
  </si>
  <si>
    <t>Gross Annual Employment Bonus</t>
  </si>
  <si>
    <t xml:space="preserve"> </t>
  </si>
  <si>
    <t xml:space="preserve">EPF From Employer </t>
  </si>
  <si>
    <t>Sub Total</t>
  </si>
  <si>
    <t>(Less EPF Of Employee)</t>
  </si>
  <si>
    <t>(Less EPF Of Employer)</t>
  </si>
  <si>
    <t>(Less SOCSO)</t>
  </si>
  <si>
    <t>Net Annual Income &amp; Bonus</t>
  </si>
  <si>
    <t>Annual Interest Income (FD)</t>
  </si>
  <si>
    <t>-</t>
  </si>
  <si>
    <t>Annual Rental Income</t>
  </si>
  <si>
    <t>Annual Dividends (Shares)</t>
  </si>
  <si>
    <t>Total Inflow</t>
  </si>
  <si>
    <t>CASH OUTFLOWS</t>
  </si>
  <si>
    <t>Fixed Outflow (II.I)</t>
  </si>
  <si>
    <t>Fixed Outflow</t>
  </si>
  <si>
    <t xml:space="preserve">Resident Home Mortgage </t>
  </si>
  <si>
    <r>
      <rPr>
        <sz val="9"/>
        <color theme="1"/>
        <rFont val="Arial"/>
        <family val="2"/>
      </rPr>
      <t>Resident Home Mortgage</t>
    </r>
    <r>
      <rPr>
        <sz val="9"/>
        <color rgb="FFFF0000"/>
        <rFont val="Arial"/>
        <family val="2"/>
      </rPr>
      <t xml:space="preserve"> (Refinancing)</t>
    </r>
  </si>
  <si>
    <t>Investment Property Mortgage</t>
  </si>
  <si>
    <r>
      <rPr>
        <sz val="9"/>
        <color theme="1"/>
        <rFont val="Arial"/>
        <family val="2"/>
      </rPr>
      <t xml:space="preserve">Investment Property Mortgage </t>
    </r>
    <r>
      <rPr>
        <sz val="9"/>
        <color rgb="FFFF0000"/>
        <rFont val="Arial"/>
        <family val="2"/>
      </rPr>
      <t>(Refinancing)</t>
    </r>
  </si>
  <si>
    <t>Car Loan Repayment</t>
  </si>
  <si>
    <t>Savings &amp; Investment</t>
  </si>
  <si>
    <r>
      <rPr>
        <sz val="9"/>
        <color theme="1"/>
        <rFont val="Arial"/>
        <family val="2"/>
      </rPr>
      <t xml:space="preserve">Savings &amp; Investment </t>
    </r>
    <r>
      <rPr>
        <sz val="9"/>
        <color rgb="FFFF0000"/>
        <rFont val="Arial"/>
        <family val="2"/>
      </rPr>
      <t>(Revised - To PRS)</t>
    </r>
  </si>
  <si>
    <t>Vehicle (Car Maintenance, Road Tax, Insurance)</t>
  </si>
  <si>
    <t>Insurance</t>
  </si>
  <si>
    <t>Insurance Premium for Medical</t>
  </si>
  <si>
    <t>Insurance (Children)</t>
  </si>
  <si>
    <t>Total Fixed Outflow</t>
  </si>
  <si>
    <t>Variable Outflow (II.II)</t>
  </si>
  <si>
    <t>Variable Outflow</t>
  </si>
  <si>
    <t>Food</t>
  </si>
  <si>
    <t>Clothing</t>
  </si>
  <si>
    <t>Utilities &amp; Telephone</t>
  </si>
  <si>
    <t>Entertainment</t>
  </si>
  <si>
    <t>Children’s Maintenance</t>
  </si>
  <si>
    <t>Parent Allowance</t>
  </si>
  <si>
    <t>Vacations</t>
  </si>
  <si>
    <t>Income Tax</t>
  </si>
  <si>
    <r>
      <rPr>
        <sz val="9"/>
        <color theme="1"/>
        <rFont val="Arial"/>
        <family val="2"/>
      </rPr>
      <t xml:space="preserve">Income Tax </t>
    </r>
    <r>
      <rPr>
        <sz val="9"/>
        <color rgb="FFFF0000"/>
        <rFont val="Arial"/>
        <family val="2"/>
      </rPr>
      <t>(Revised)</t>
    </r>
  </si>
  <si>
    <t>Total Variable Outflow</t>
  </si>
  <si>
    <t>Total Cash Outflow (II.I + II.II)</t>
  </si>
  <si>
    <t>Total Cash Outflow</t>
  </si>
  <si>
    <t>Net Cash Flow (Surplus) (I - II)</t>
  </si>
  <si>
    <t>Net Cash Flow (Surplus)</t>
  </si>
  <si>
    <t>Saving</t>
  </si>
  <si>
    <t>Statement of Net Worth</t>
  </si>
  <si>
    <t>Liabilities</t>
  </si>
  <si>
    <t>Rate</t>
  </si>
  <si>
    <t>Monthly Payment</t>
  </si>
  <si>
    <t>Outstanding Balance</t>
  </si>
  <si>
    <t>As of June 2025</t>
  </si>
  <si>
    <t>ASSET</t>
  </si>
  <si>
    <t>%</t>
  </si>
  <si>
    <t>RM</t>
  </si>
  <si>
    <t>Cash / Cash Equivalent</t>
  </si>
  <si>
    <t>Current Liabilities</t>
  </si>
  <si>
    <t>Saving Account</t>
  </si>
  <si>
    <t>Income Tax Payable</t>
  </si>
  <si>
    <t>Current Account</t>
  </si>
  <si>
    <t>Total Current Liability</t>
  </si>
  <si>
    <t>Fixed Deposit</t>
  </si>
  <si>
    <t>Life Insurance Cash Value</t>
  </si>
  <si>
    <t>Long Term Liabilities</t>
  </si>
  <si>
    <t>Children Saving Account</t>
  </si>
  <si>
    <t xml:space="preserve">Residential Home Loan </t>
  </si>
  <si>
    <t>Total Cash &amp; Cash Equivalent</t>
  </si>
  <si>
    <t xml:space="preserve">Car Loan </t>
  </si>
  <si>
    <t>Investment Asset</t>
  </si>
  <si>
    <t>Equities (Stocks &amp; Shares)</t>
  </si>
  <si>
    <t>Total Long Term Liabilities</t>
  </si>
  <si>
    <t>Bonds / Fixed Income</t>
  </si>
  <si>
    <t>Unit Trust</t>
  </si>
  <si>
    <t>Total Liabilities</t>
  </si>
  <si>
    <t>Investment Linked Policies</t>
  </si>
  <si>
    <t>Net Worth (Total Asset – Total Liabilities)</t>
  </si>
  <si>
    <t>EPF / APF</t>
  </si>
  <si>
    <t>Other Retirement Account Balance</t>
  </si>
  <si>
    <t>Property</t>
  </si>
  <si>
    <t>Others (Children ILP)</t>
  </si>
  <si>
    <t>Equities (Stock &amp; Shares)</t>
  </si>
  <si>
    <t>Unit</t>
  </si>
  <si>
    <t>Price</t>
  </si>
  <si>
    <t xml:space="preserve">Total </t>
  </si>
  <si>
    <t>Total Investment Assets</t>
  </si>
  <si>
    <t>Personal Used Assets</t>
  </si>
  <si>
    <t>Owner Occupied Property</t>
  </si>
  <si>
    <t xml:space="preserve">Home Furnishing </t>
  </si>
  <si>
    <t>Cars</t>
  </si>
  <si>
    <t xml:space="preserve">Jewelry / Collections </t>
  </si>
  <si>
    <t>Others</t>
  </si>
  <si>
    <t>Total Used Assets</t>
  </si>
  <si>
    <t>Total Assets</t>
  </si>
  <si>
    <t>Bond / Fixed Income</t>
  </si>
  <si>
    <t>Total</t>
  </si>
  <si>
    <t xml:space="preserve">Unit Trust </t>
  </si>
  <si>
    <t>Investment Linked Policies (ILP)</t>
  </si>
  <si>
    <t>PRS</t>
  </si>
  <si>
    <t>Property / Car</t>
  </si>
  <si>
    <t xml:space="preserve">Volvo CX90 2016 </t>
  </si>
  <si>
    <t>Myvi 2015</t>
  </si>
  <si>
    <t>Gurney Beach Resort - 13D</t>
  </si>
  <si>
    <t>University Heights - 97-14-4</t>
  </si>
  <si>
    <t>Lakeside Towers - 31-10-09</t>
  </si>
  <si>
    <t>LUME - 13-6</t>
  </si>
  <si>
    <t>LvZhongHai - 96-101</t>
  </si>
  <si>
    <t>QinYuHui - 3-727 &amp; 3-740</t>
  </si>
  <si>
    <t>Suipalai Oriental - 199/34</t>
  </si>
  <si>
    <t>DEBT – House Mortgage Management (Residential)</t>
  </si>
  <si>
    <t>DEBT – Car Loan</t>
  </si>
  <si>
    <t>n</t>
  </si>
  <si>
    <t>i</t>
  </si>
  <si>
    <t>PV</t>
  </si>
  <si>
    <t>PMT</t>
  </si>
  <si>
    <t>Housing Loan</t>
  </si>
  <si>
    <t>Car Loan</t>
  </si>
  <si>
    <t xml:space="preserve">Interest </t>
  </si>
  <si>
    <t>Term of Loan -Years</t>
  </si>
  <si>
    <t>Loan Paid - Years</t>
  </si>
  <si>
    <t>Balance of Term after paying n years</t>
  </si>
  <si>
    <t>Refinance Interest Rate</t>
  </si>
  <si>
    <t xml:space="preserve">Monthly Instalment </t>
  </si>
  <si>
    <t>Total Interest</t>
  </si>
  <si>
    <t>Total Loan</t>
  </si>
  <si>
    <t>Balance of Loan after n years</t>
  </si>
  <si>
    <t>Refinancing Monthly Instalment</t>
  </si>
  <si>
    <t>Monthly Interest Saved from Refinancing</t>
  </si>
  <si>
    <t>Total Interest Saving / Year</t>
  </si>
  <si>
    <t>Total Interest Save for n years</t>
  </si>
  <si>
    <t>Risk Management</t>
  </si>
  <si>
    <t>Age</t>
  </si>
  <si>
    <t>Monthly (RM)</t>
  </si>
  <si>
    <t>Yearly (RM)</t>
  </si>
  <si>
    <t>Current Income of Self</t>
  </si>
  <si>
    <t>Current Income of Spouse</t>
  </si>
  <si>
    <t>Current Income</t>
  </si>
  <si>
    <t>Years Expectation</t>
  </si>
  <si>
    <t>Years of Coverage</t>
  </si>
  <si>
    <t>Parents</t>
  </si>
  <si>
    <t>Children</t>
  </si>
  <si>
    <t>Required Current Income for Protection</t>
  </si>
  <si>
    <t>Basing on Salary Increment as return on investment</t>
  </si>
  <si>
    <t>Basing Inflation</t>
  </si>
  <si>
    <t>Growth (Living)</t>
  </si>
  <si>
    <t>Inflation</t>
  </si>
  <si>
    <t>6 Months Family Expenses</t>
  </si>
  <si>
    <t>Final Expense</t>
  </si>
  <si>
    <t>Outstanding Housing Loan (Balance)</t>
  </si>
  <si>
    <t>Outstanding Car Loan (Balance)</t>
  </si>
  <si>
    <t>Subtotal</t>
  </si>
  <si>
    <t>Total Insurance Needed</t>
  </si>
  <si>
    <t>Less Existing Insurance Protection</t>
  </si>
  <si>
    <t>ILP</t>
  </si>
  <si>
    <t>PA</t>
  </si>
  <si>
    <t>Group Term</t>
  </si>
  <si>
    <t>EPF</t>
  </si>
  <si>
    <t xml:space="preserve">Shortfall of Insurance </t>
  </si>
  <si>
    <t>Year to University (Year)</t>
  </si>
  <si>
    <t>Estimate Education Fund Needed Today (RM)</t>
  </si>
  <si>
    <t>Estimate Fund for Education at age 18 (RM)</t>
  </si>
  <si>
    <t>Education Fund Needed at age 18 (RM)</t>
  </si>
  <si>
    <t xml:space="preserve">Total Education Fund Needed </t>
  </si>
  <si>
    <t>Shortfall / Excess (RM)</t>
  </si>
  <si>
    <t>50,000 /yr</t>
  </si>
  <si>
    <t>Education Fund Needs (Canada)</t>
  </si>
  <si>
    <t>Chloe @ Age 19</t>
  </si>
  <si>
    <t>PV (RM)</t>
  </si>
  <si>
    <t>FV (RM)</t>
  </si>
  <si>
    <r>
      <rPr>
        <b/>
        <i/>
        <sz val="11"/>
        <color theme="1"/>
        <rFont val="Arial"/>
        <family val="2"/>
      </rPr>
      <t>1</t>
    </r>
    <r>
      <rPr>
        <b/>
        <i/>
        <vertAlign val="superscript"/>
        <sz val="11"/>
        <color theme="1"/>
        <rFont val="Arial"/>
        <family val="2"/>
      </rPr>
      <t>st</t>
    </r>
    <r>
      <rPr>
        <b/>
        <i/>
        <sz val="11"/>
        <color theme="1"/>
        <rFont val="Arial"/>
        <family val="2"/>
      </rPr>
      <t xml:space="preserve"> Year University</t>
    </r>
  </si>
  <si>
    <r>
      <rPr>
        <b/>
        <i/>
        <sz val="11"/>
        <color theme="1"/>
        <rFont val="Arial"/>
        <family val="2"/>
      </rPr>
      <t>2</t>
    </r>
    <r>
      <rPr>
        <b/>
        <i/>
        <vertAlign val="superscript"/>
        <sz val="11"/>
        <color theme="1"/>
        <rFont val="Arial"/>
        <family val="2"/>
      </rPr>
      <t>nd</t>
    </r>
    <r>
      <rPr>
        <b/>
        <i/>
        <sz val="11"/>
        <color theme="1"/>
        <rFont val="Arial"/>
        <family val="2"/>
      </rPr>
      <t xml:space="preserve"> Year University</t>
    </r>
  </si>
  <si>
    <r>
      <rPr>
        <b/>
        <i/>
        <sz val="11"/>
        <color theme="1"/>
        <rFont val="Arial"/>
        <family val="2"/>
      </rPr>
      <t>3</t>
    </r>
    <r>
      <rPr>
        <b/>
        <i/>
        <vertAlign val="superscript"/>
        <sz val="11"/>
        <color theme="1"/>
        <rFont val="Arial"/>
        <family val="2"/>
      </rPr>
      <t>rd</t>
    </r>
    <r>
      <rPr>
        <b/>
        <i/>
        <sz val="11"/>
        <color theme="1"/>
        <rFont val="Arial"/>
        <family val="2"/>
      </rPr>
      <t xml:space="preserve"> Year University</t>
    </r>
  </si>
  <si>
    <r>
      <rPr>
        <b/>
        <i/>
        <sz val="11"/>
        <color theme="1"/>
        <rFont val="Arial"/>
        <family val="2"/>
      </rPr>
      <t>4</t>
    </r>
    <r>
      <rPr>
        <b/>
        <i/>
        <vertAlign val="superscript"/>
        <sz val="11"/>
        <color theme="1"/>
        <rFont val="Arial"/>
        <family val="2"/>
      </rPr>
      <t>th</t>
    </r>
    <r>
      <rPr>
        <b/>
        <i/>
        <sz val="11"/>
        <color theme="1"/>
        <rFont val="Arial"/>
        <family val="2"/>
      </rPr>
      <t xml:space="preserve"> Year University</t>
    </r>
  </si>
  <si>
    <t>Income Tax Computations for the year of assessment 2024</t>
  </si>
  <si>
    <t>SELF</t>
  </si>
  <si>
    <t>SPOUSE</t>
  </si>
  <si>
    <t>Statutory Income</t>
  </si>
  <si>
    <t xml:space="preserve">Employment Income </t>
  </si>
  <si>
    <t>Rental</t>
  </si>
  <si>
    <t xml:space="preserve">Aggregate Income </t>
  </si>
  <si>
    <t xml:space="preserve">(Approved Donations) </t>
  </si>
  <si>
    <t xml:space="preserve">Total Income </t>
  </si>
  <si>
    <t xml:space="preserve">(Relief) </t>
  </si>
  <si>
    <t xml:space="preserve">Personal </t>
  </si>
  <si>
    <t>Basic Supporting Equipment</t>
  </si>
  <si>
    <t>Education Fees (self)</t>
  </si>
  <si>
    <t>Vaccination</t>
  </si>
  <si>
    <t>Life Style</t>
  </si>
  <si>
    <t xml:space="preserve">Childcare under 6 yearold </t>
  </si>
  <si>
    <t>SSPN</t>
  </si>
  <si>
    <t xml:space="preserve">Life Insurance </t>
  </si>
  <si>
    <t>Medical / Education Premium</t>
  </si>
  <si>
    <t>SOCSO</t>
  </si>
  <si>
    <t xml:space="preserve">Sport </t>
  </si>
  <si>
    <t>Books</t>
  </si>
  <si>
    <t>Children (under 18)</t>
  </si>
  <si>
    <t xml:space="preserve">Children Education </t>
  </si>
  <si>
    <t xml:space="preserve">Vacation </t>
  </si>
  <si>
    <t>Total Relief</t>
  </si>
  <si>
    <t>Taxable Income</t>
  </si>
  <si>
    <t>Tax Payable</t>
  </si>
  <si>
    <r>
      <rPr>
        <sz val="11"/>
        <color theme="1"/>
        <rFont val="Arial"/>
        <family val="2"/>
      </rPr>
      <t>On the 1</t>
    </r>
    <r>
      <rPr>
        <vertAlign val="superscript"/>
        <sz val="11"/>
        <color theme="1"/>
        <rFont val="Arial"/>
        <family val="2"/>
      </rPr>
      <t>st</t>
    </r>
    <r>
      <rPr>
        <sz val="11"/>
        <color theme="1"/>
        <rFont val="Arial"/>
        <family val="2"/>
      </rPr>
      <t xml:space="preserve"> RM20,000 (Self) &amp; RM20,000 (Spouse)</t>
    </r>
  </si>
  <si>
    <r>
      <rPr>
        <sz val="11"/>
        <color theme="1"/>
        <rFont val="Arial"/>
        <family val="2"/>
      </rPr>
      <t>On the 1</t>
    </r>
    <r>
      <rPr>
        <vertAlign val="superscript"/>
        <sz val="11"/>
        <color theme="1"/>
        <rFont val="Arial"/>
        <family val="2"/>
      </rPr>
      <t>st</t>
    </r>
    <r>
      <rPr>
        <sz val="11"/>
        <color theme="1"/>
        <rFont val="Arial"/>
        <family val="2"/>
      </rPr>
      <t xml:space="preserve"> RM100,000 (Self) &amp; RM100,000 (Spouse)</t>
    </r>
  </si>
  <si>
    <t>On Balance (3% of RM5,150)</t>
  </si>
  <si>
    <t>On Balance (25% of RM35,650)</t>
  </si>
  <si>
    <t>On Balance (25% of RM54,650)</t>
  </si>
  <si>
    <t>Total Tax Payable</t>
  </si>
  <si>
    <t>Total Tax Payable (Joint)</t>
  </si>
  <si>
    <t>Retirement Sum Needed (RM)</t>
  </si>
  <si>
    <t>Current Fund Available (RM)</t>
  </si>
  <si>
    <t>Surplus / Shortfall (RM)</t>
  </si>
  <si>
    <t>Investment Rate of Return (%)</t>
  </si>
  <si>
    <t>Annual Investment (RM)</t>
  </si>
  <si>
    <t>Retirement Planning</t>
  </si>
  <si>
    <t>Revised - Retirement Planning</t>
  </si>
  <si>
    <t>Annual retirement income needed if you retire today (Annual Salary x 100%)</t>
  </si>
  <si>
    <t>Retirement Age</t>
  </si>
  <si>
    <t>Year to Retirement</t>
  </si>
  <si>
    <t>Age at end of Retirement</t>
  </si>
  <si>
    <t>Length of Retirement</t>
  </si>
  <si>
    <t>Mr. Choo</t>
  </si>
  <si>
    <t>Current Age</t>
  </si>
  <si>
    <t>Mrs. Khoo</t>
  </si>
  <si>
    <t>Month</t>
  </si>
  <si>
    <t>Annual</t>
  </si>
  <si>
    <t>Amount (RM)</t>
  </si>
  <si>
    <t>Life Style Inflation rate (i)</t>
  </si>
  <si>
    <t>E</t>
  </si>
  <si>
    <t>Current Salary of Self</t>
  </si>
  <si>
    <t>Current Salary of Mrs. Ewe</t>
  </si>
  <si>
    <t>Annual Income on1st year of retirement (PMT) at age55</t>
  </si>
  <si>
    <t xml:space="preserve">Required Salary for Retirement </t>
  </si>
  <si>
    <t>Retirement years after Age55 (n) (80– 55)</t>
  </si>
  <si>
    <t>K</t>
  </si>
  <si>
    <t>Current Salary of Spouse</t>
  </si>
  <si>
    <t>Current Salary of Mr. Khoo</t>
  </si>
  <si>
    <t>Rate of return during retirement (r)</t>
  </si>
  <si>
    <t>Required Salary for Retirement</t>
  </si>
  <si>
    <t>Salary Increment</t>
  </si>
  <si>
    <t>Adjusted rate of return i=(0.05– 0.04)/1.04</t>
  </si>
  <si>
    <t>Total Retirement Fund required (PV) BGN</t>
  </si>
  <si>
    <t>Return on Investment on Retirement</t>
  </si>
  <si>
    <t>Total Retirement Fund for Mr. &amp; Mrs. Choo</t>
  </si>
  <si>
    <t>Return on Retirement Provident Fund</t>
  </si>
  <si>
    <t>Property Appreciation Rate</t>
  </si>
  <si>
    <t>Growth (%)</t>
  </si>
  <si>
    <t>Inflation (%)</t>
  </si>
  <si>
    <t>Last Drawn Salary at Retirement</t>
  </si>
  <si>
    <t>Last Drawn Salary at Retirement (100%)</t>
  </si>
  <si>
    <t>Last Drawn Salary at Retirement (60%)</t>
  </si>
  <si>
    <t>PMT (RM)</t>
  </si>
  <si>
    <t>Retirement Capital Required</t>
  </si>
  <si>
    <t>Total Lump Sum Retirement Capital Requirement for Both</t>
  </si>
  <si>
    <t>Total Resources</t>
  </si>
  <si>
    <t>FV</t>
  </si>
  <si>
    <t xml:space="preserve">Properties </t>
  </si>
  <si>
    <t>Fixed Deposit Joint)</t>
  </si>
  <si>
    <t>Fixed Deposit (Joint)</t>
  </si>
  <si>
    <t>Life Ins CSV</t>
  </si>
  <si>
    <t>Equities</t>
  </si>
  <si>
    <t xml:space="preserve">Bonds </t>
  </si>
  <si>
    <t>ILP (Joint)</t>
  </si>
  <si>
    <t>EPF (Joint)</t>
  </si>
  <si>
    <t>Growth</t>
  </si>
  <si>
    <t>Salary</t>
  </si>
  <si>
    <t>FV of Accumulation EPF</t>
  </si>
  <si>
    <t xml:space="preserve">Total Resource </t>
  </si>
  <si>
    <t>Retirement Gap</t>
  </si>
  <si>
    <t>Yearly Saving Required</t>
  </si>
  <si>
    <t>Investment Planning – Current Onvestment Portfolio</t>
  </si>
  <si>
    <t>Revised - Investment Planning – Current Onvestment Portfolio</t>
  </si>
  <si>
    <t>Current Assets</t>
  </si>
  <si>
    <t>Weight</t>
  </si>
  <si>
    <t>Rate of Return (%)</t>
  </si>
  <si>
    <t>Weighted ROI</t>
  </si>
  <si>
    <t>Life Ins. CSV</t>
  </si>
  <si>
    <t>Saving Account (Children)</t>
  </si>
  <si>
    <t>Saving Account (Children) (SPNN)</t>
  </si>
  <si>
    <t xml:space="preserve">PRS </t>
  </si>
  <si>
    <t>ILP (Children)</t>
  </si>
  <si>
    <t>Fixed Assets</t>
  </si>
  <si>
    <t>Grand Total</t>
  </si>
  <si>
    <t>Financial Ratios – Mr. Choo and Mrs. Khoo</t>
  </si>
  <si>
    <t>Basic Liquidity Ratio</t>
  </si>
  <si>
    <t>Total Current Asset</t>
  </si>
  <si>
    <t>Monthly Expenses</t>
  </si>
  <si>
    <t>Cash/Cash Equivalents / Monthly Expenses</t>
  </si>
  <si>
    <t xml:space="preserve">Benchmark </t>
  </si>
  <si>
    <t>3 – 6</t>
  </si>
  <si>
    <t>Standby Liquidity Ratio</t>
  </si>
  <si>
    <t>Liquid Investment Asset</t>
  </si>
  <si>
    <t>Total Liquid Investment / MOnthly Expenses</t>
  </si>
  <si>
    <t>Saving Ratio</t>
  </si>
  <si>
    <t>Gross Income</t>
  </si>
  <si>
    <t>Saving / Total Income</t>
  </si>
  <si>
    <t>Benchmark (min)</t>
  </si>
  <si>
    <t>Liquid Asset to Net Worth Ratio</t>
  </si>
  <si>
    <t>Cash + Cash Equivalent</t>
  </si>
  <si>
    <t>Net Worth</t>
  </si>
  <si>
    <t>Cash/Cash Equivalents / Net Worth</t>
  </si>
  <si>
    <t>Debt to Asset Ratio</t>
  </si>
  <si>
    <t>Total Debt</t>
  </si>
  <si>
    <t>Total Asset</t>
  </si>
  <si>
    <t>Total Liabilities / Total Asset</t>
  </si>
  <si>
    <t>Benchmark (below)</t>
  </si>
  <si>
    <t>Debt Services Ratio</t>
  </si>
  <si>
    <t>Total Monthly Loan Repayment</t>
  </si>
  <si>
    <t>Monthly Take  Home Income</t>
  </si>
  <si>
    <t>Monthly Total Loan Payment / Monthly Take Home Income</t>
  </si>
  <si>
    <t>Non Mortgage Debt Services Ratio</t>
  </si>
  <si>
    <t>Total Annual Non Mortgage Loan Repayment</t>
  </si>
  <si>
    <t>Total Annual Take Home   Income</t>
  </si>
  <si>
    <t>Total Loan Payment (non mortgage) / Total Take Home Income</t>
  </si>
  <si>
    <t>Net Investment Assets to Net Worth Ratio</t>
  </si>
  <si>
    <t>Net Investment asset</t>
  </si>
  <si>
    <t>Net Investment Assets / Net Worth</t>
  </si>
  <si>
    <t>Benchmark (above)</t>
  </si>
  <si>
    <t>Solvency Ratio</t>
  </si>
  <si>
    <t>Total Net Worth</t>
  </si>
  <si>
    <t>Total Net Worth / Total Asset</t>
  </si>
  <si>
    <t>Insurance #</t>
  </si>
  <si>
    <t>Sum Assured (Upon Death)</t>
  </si>
  <si>
    <t>Disability</t>
  </si>
  <si>
    <t>Critical Illness (CLR)</t>
  </si>
  <si>
    <t>Multiple Critical Illiness (CLR)</t>
  </si>
  <si>
    <t>Hospitalization</t>
  </si>
  <si>
    <t>Annual Hospital Limit</t>
  </si>
  <si>
    <t>Surrender Value</t>
  </si>
  <si>
    <t xml:space="preserve">Premium </t>
  </si>
  <si>
    <t>U570219415</t>
  </si>
  <si>
    <t>0191924A07</t>
  </si>
  <si>
    <t>5480488A10</t>
  </si>
  <si>
    <t>W574660992</t>
  </si>
  <si>
    <t>4170883A10</t>
  </si>
  <si>
    <t>0294117J04</t>
  </si>
  <si>
    <t>W573847185</t>
  </si>
  <si>
    <t>4170877A02</t>
  </si>
  <si>
    <t>0294119J09</t>
  </si>
  <si>
    <t>Investment</t>
    <phoneticPr fontId="19" type="noConversion"/>
  </si>
  <si>
    <t>Buying</t>
    <phoneticPr fontId="19" type="noConversion"/>
  </si>
  <si>
    <t>Market Value</t>
    <phoneticPr fontId="19" type="noConversion"/>
  </si>
  <si>
    <t>%</t>
    <phoneticPr fontId="19" type="noConversion"/>
  </si>
  <si>
    <t>Shariah Gold - SGTF</t>
    <phoneticPr fontId="19" type="noConversion"/>
  </si>
  <si>
    <t>China A Opportunity - CAOFMYRH</t>
    <phoneticPr fontId="19" type="noConversion"/>
  </si>
  <si>
    <t>Global Infrastructure - GINFIMYRH</t>
    <phoneticPr fontId="19" type="noConversion"/>
  </si>
  <si>
    <t>Share</t>
    <phoneticPr fontId="19" type="noConversion"/>
  </si>
  <si>
    <t>Under</t>
    <phoneticPr fontId="19" type="noConversion"/>
  </si>
  <si>
    <t>Self</t>
    <phoneticPr fontId="19" type="noConversion"/>
  </si>
  <si>
    <t>Price</t>
    <phoneticPr fontId="19" type="noConversion"/>
  </si>
  <si>
    <t>Unit</t>
    <phoneticPr fontId="19" type="noConversion"/>
  </si>
  <si>
    <t>Total</t>
    <phoneticPr fontId="19" type="noConversion"/>
  </si>
  <si>
    <t>Total (Buy)</t>
    <phoneticPr fontId="19" type="noConversion"/>
  </si>
  <si>
    <t>Current Price</t>
    <phoneticPr fontId="19" type="noConversion"/>
  </si>
  <si>
    <t>Baba-W (09988)</t>
    <phoneticPr fontId="19" type="noConversion"/>
  </si>
  <si>
    <t>IJM (3336)</t>
    <phoneticPr fontId="19" type="noConversion"/>
  </si>
  <si>
    <t>China (00728)</t>
    <phoneticPr fontId="19" type="noConversion"/>
  </si>
  <si>
    <t>MeiTuan-W (03690)</t>
    <phoneticPr fontId="19" type="noConversion"/>
  </si>
  <si>
    <t>Intel (INTC)</t>
    <phoneticPr fontId="19" type="noConversion"/>
  </si>
  <si>
    <t>Exchange Rate</t>
    <phoneticPr fontId="19" type="noConversion"/>
  </si>
  <si>
    <t>US</t>
    <phoneticPr fontId="19" type="noConversion"/>
  </si>
  <si>
    <t>HK</t>
    <phoneticPr fontId="19" type="noConversion"/>
  </si>
  <si>
    <t>MYR</t>
    <phoneticPr fontId="19" type="noConversion"/>
  </si>
  <si>
    <t>HKD</t>
    <phoneticPr fontId="19" type="noConversion"/>
  </si>
  <si>
    <t>USD</t>
    <phoneticPr fontId="19" type="noConversion"/>
  </si>
  <si>
    <t>Spouse</t>
    <phoneticPr fontId="19" type="noConversion"/>
  </si>
  <si>
    <t xml:space="preserve">Tesla </t>
    <phoneticPr fontId="19" type="noConversion"/>
  </si>
  <si>
    <t xml:space="preserve">In Original </t>
    <phoneticPr fontId="19" type="noConversion"/>
  </si>
  <si>
    <t>In Original $</t>
    <phoneticPr fontId="19" type="noConversion"/>
  </si>
  <si>
    <t>Market</t>
    <phoneticPr fontId="19" type="noConversion"/>
  </si>
  <si>
    <t>MY</t>
    <phoneticPr fontId="19" type="noConversion"/>
  </si>
  <si>
    <t>AEON (6599)</t>
    <phoneticPr fontId="19" type="noConversion"/>
  </si>
  <si>
    <t>AMBANK (1015)</t>
    <phoneticPr fontId="19" type="noConversion"/>
  </si>
  <si>
    <t>ANCOMLB (0048)</t>
    <phoneticPr fontId="19" type="noConversion"/>
  </si>
  <si>
    <t>CIMB (1023)</t>
    <phoneticPr fontId="19" type="noConversion"/>
  </si>
  <si>
    <t>DFX (0131)</t>
    <phoneticPr fontId="19" type="noConversion"/>
  </si>
  <si>
    <t>GENM</t>
    <phoneticPr fontId="19" type="noConversion"/>
  </si>
  <si>
    <t>LBS (5789)</t>
    <phoneticPr fontId="19" type="noConversion"/>
  </si>
  <si>
    <t>MAYBANK (1155)</t>
    <phoneticPr fontId="19" type="noConversion"/>
  </si>
  <si>
    <t>MAHSING (8583)</t>
    <phoneticPr fontId="19" type="noConversion"/>
  </si>
  <si>
    <t>MGB (7595)</t>
    <phoneticPr fontId="19" type="noConversion"/>
  </si>
  <si>
    <t>MICROLN (0126)</t>
    <phoneticPr fontId="19" type="noConversion"/>
  </si>
  <si>
    <t>MUIIND (3891)</t>
    <phoneticPr fontId="19" type="noConversion"/>
  </si>
  <si>
    <t>OMESTI (9008)</t>
    <phoneticPr fontId="19" type="noConversion"/>
  </si>
  <si>
    <t>OSK (5053)</t>
    <phoneticPr fontId="19" type="noConversion"/>
  </si>
  <si>
    <t>PRTASCO (5070)</t>
    <phoneticPr fontId="19" type="noConversion"/>
  </si>
  <si>
    <t>SALCON (8567)</t>
    <phoneticPr fontId="19" type="noConversion"/>
  </si>
  <si>
    <t>TUNEPRO (5230)</t>
    <phoneticPr fontId="19" type="noConversion"/>
  </si>
  <si>
    <t>VANTNRG (5218)</t>
    <phoneticPr fontId="19" type="noConversion"/>
  </si>
  <si>
    <t>VINVEST (0069)</t>
    <phoneticPr fontId="19" type="noConversion"/>
  </si>
  <si>
    <t>Y&amp;G (7003)</t>
    <phoneticPr fontId="19" type="noConversion"/>
  </si>
  <si>
    <t>CAPITALA (5099)</t>
    <phoneticPr fontId="19" type="noConversion"/>
  </si>
  <si>
    <t>KL Exchg (Saving-MYR)</t>
    <phoneticPr fontId="19" type="noConversion"/>
  </si>
  <si>
    <t>KL Exchg (Saving-HKD)</t>
    <phoneticPr fontId="19" type="noConversion"/>
  </si>
  <si>
    <t>KL Exchg (Saving-USD)</t>
    <phoneticPr fontId="19" type="noConversion"/>
  </si>
  <si>
    <t>Location</t>
    <phoneticPr fontId="19" type="noConversion"/>
  </si>
  <si>
    <t>PRS - AIA PAM Growth Fund</t>
    <phoneticPr fontId="19" type="noConversion"/>
  </si>
  <si>
    <t>PRS - AIA PAM Conservative Fund</t>
    <phoneticPr fontId="19" type="noConversion"/>
  </si>
  <si>
    <t>PRS - Public Mutual PRS Equity Fund</t>
    <phoneticPr fontId="19" type="noConversion"/>
  </si>
  <si>
    <t>Remark</t>
    <phoneticPr fontId="19" type="noConversion"/>
  </si>
  <si>
    <t>Saving</t>
    <phoneticPr fontId="19" type="noConversion"/>
  </si>
  <si>
    <t>Am - 8881061901196</t>
    <phoneticPr fontId="19" type="noConversion"/>
  </si>
  <si>
    <t>Am - 8881064890588</t>
    <phoneticPr fontId="19" type="noConversion"/>
  </si>
  <si>
    <t>Am - 8881057947342</t>
    <phoneticPr fontId="19" type="noConversion"/>
  </si>
  <si>
    <t>Am - FD3742 AmFDPlus</t>
    <phoneticPr fontId="19" type="noConversion"/>
  </si>
  <si>
    <t>Am - TD7337</t>
    <phoneticPr fontId="19" type="noConversion"/>
  </si>
  <si>
    <t>Am - 8881001977246</t>
    <phoneticPr fontId="19" type="noConversion"/>
  </si>
  <si>
    <t>Am - UnitTrust 2948</t>
    <phoneticPr fontId="19" type="noConversion"/>
  </si>
  <si>
    <t>BB - 0470394156</t>
    <phoneticPr fontId="19" type="noConversion"/>
  </si>
  <si>
    <t>CB - 6222620110041559486</t>
    <phoneticPr fontId="19" type="noConversion"/>
  </si>
  <si>
    <t>CB - 6222600110021153247</t>
    <phoneticPr fontId="19" type="noConversion"/>
  </si>
  <si>
    <t>CN</t>
    <phoneticPr fontId="19" type="noConversion"/>
  </si>
  <si>
    <t>TH</t>
    <phoneticPr fontId="19" type="noConversion"/>
  </si>
  <si>
    <t>CB - Ins</t>
    <phoneticPr fontId="19" type="noConversion"/>
  </si>
  <si>
    <t>ICBC - 6222081001011370701</t>
    <phoneticPr fontId="19" type="noConversion"/>
  </si>
  <si>
    <t>ICBC - 6222021001103374358</t>
    <phoneticPr fontId="19" type="noConversion"/>
  </si>
  <si>
    <t>ICBC - 鑫添益90天</t>
    <phoneticPr fontId="19" type="noConversion"/>
  </si>
  <si>
    <t>ICBC - 万家国证2000</t>
    <phoneticPr fontId="19" type="noConversion"/>
  </si>
  <si>
    <t>BOC - 6217860800000151460</t>
    <phoneticPr fontId="19" type="noConversion"/>
  </si>
  <si>
    <t>BOC - 4662453028491951</t>
    <phoneticPr fontId="19" type="noConversion"/>
  </si>
  <si>
    <t>BOC - 4096704238070977</t>
    <phoneticPr fontId="19" type="noConversion"/>
  </si>
  <si>
    <t>UOB - 9143427982</t>
    <phoneticPr fontId="19" type="noConversion"/>
  </si>
  <si>
    <t>UOB - Pruenrich Gain 31442809</t>
    <phoneticPr fontId="19" type="noConversion"/>
  </si>
  <si>
    <t>Muture</t>
    <phoneticPr fontId="19" type="noConversion"/>
  </si>
  <si>
    <t>Muture - 15yrs</t>
    <phoneticPr fontId="19" type="noConversion"/>
  </si>
  <si>
    <t>PMO - Public Equity 023552684</t>
    <phoneticPr fontId="19" type="noConversion"/>
  </si>
  <si>
    <t>PMO - Public Regular Saving</t>
    <phoneticPr fontId="19" type="noConversion"/>
  </si>
  <si>
    <t>DBS - *****35076</t>
    <phoneticPr fontId="19" type="noConversion"/>
  </si>
  <si>
    <t>TW</t>
    <phoneticPr fontId="19" type="noConversion"/>
  </si>
  <si>
    <t>DBS - *****25297</t>
    <phoneticPr fontId="19" type="noConversion"/>
  </si>
  <si>
    <t>AU</t>
    <phoneticPr fontId="19" type="noConversion"/>
  </si>
  <si>
    <t>DBS - DBOCEMI09</t>
    <phoneticPr fontId="19" type="noConversion"/>
  </si>
  <si>
    <t>DBS - DBOCMQG12</t>
    <phoneticPr fontId="19" type="noConversion"/>
  </si>
  <si>
    <t>CIMB - 7076694450</t>
    <phoneticPr fontId="19" type="noConversion"/>
  </si>
  <si>
    <t>Muture - 20yrs</t>
    <phoneticPr fontId="19" type="noConversion"/>
  </si>
  <si>
    <t>CIMB - Sun Ins L9774039</t>
    <phoneticPr fontId="19" type="noConversion"/>
  </si>
  <si>
    <t>HSBC - 374081412108</t>
    <phoneticPr fontId="19" type="noConversion"/>
  </si>
  <si>
    <t>HSBC - 374081412888</t>
    <phoneticPr fontId="19" type="noConversion"/>
  </si>
  <si>
    <t>SG</t>
    <phoneticPr fontId="19" type="noConversion"/>
  </si>
  <si>
    <t>HSBC - 374081438888</t>
    <phoneticPr fontId="19" type="noConversion"/>
  </si>
  <si>
    <t>HSBC - 052357XXX496</t>
    <phoneticPr fontId="19" type="noConversion"/>
  </si>
  <si>
    <t>HSBC - 052357XXX221</t>
    <phoneticPr fontId="19" type="noConversion"/>
  </si>
  <si>
    <t>HSBC - Ins UniversalIncome 9110023977</t>
    <phoneticPr fontId="19" type="noConversion"/>
  </si>
  <si>
    <t>HSBC - Ins UniversalIncome 9110045587</t>
    <phoneticPr fontId="19" type="noConversion"/>
  </si>
  <si>
    <t>HSBC - Ins EliteSaver 9110125246</t>
    <phoneticPr fontId="19" type="noConversion"/>
  </si>
  <si>
    <t>HSBC - Ins EliteCare Plus 9110170036</t>
    <phoneticPr fontId="19" type="noConversion"/>
  </si>
  <si>
    <t>HSBC - AHAM World Series UAHAEFSGDH</t>
    <phoneticPr fontId="19" type="noConversion"/>
  </si>
  <si>
    <t>HSBC - Principle Global SC Bond UPGSCBFGHU</t>
    <phoneticPr fontId="19" type="noConversion"/>
  </si>
  <si>
    <t>UK</t>
    <phoneticPr fontId="19" type="noConversion"/>
  </si>
  <si>
    <t>HSBC - AHAM WS UAHGHSSGDH</t>
    <phoneticPr fontId="19" type="noConversion"/>
  </si>
  <si>
    <t>HSBC - Principle Global SC Bond UPGSCBFUSU</t>
    <phoneticPr fontId="19" type="noConversion"/>
  </si>
  <si>
    <t>HSBC - AHAM World Series UAHWSIFSHU</t>
    <phoneticPr fontId="19" type="noConversion"/>
  </si>
  <si>
    <t>HSBC - AHAM Select Opportunity UHDBSIM01</t>
    <phoneticPr fontId="19" type="noConversion"/>
  </si>
  <si>
    <t>HSBC - Manulife Global Perspective UMAMGPFUSD</t>
    <phoneticPr fontId="19" type="noConversion"/>
  </si>
  <si>
    <t>HSBC - RHB Global Equity Premium URHBGEPISC</t>
    <phoneticPr fontId="19" type="noConversion"/>
  </si>
  <si>
    <t>HSBC - Amundi Income UAMIOUSDUD</t>
    <phoneticPr fontId="19" type="noConversion"/>
  </si>
  <si>
    <t xml:space="preserve">HSBC - Singapore Bond </t>
    <phoneticPr fontId="19" type="noConversion"/>
  </si>
  <si>
    <t xml:space="preserve">Buying </t>
    <phoneticPr fontId="19" type="noConversion"/>
  </si>
  <si>
    <t>In MYR</t>
    <phoneticPr fontId="19" type="noConversion"/>
  </si>
  <si>
    <t>Exchange</t>
    <phoneticPr fontId="19" type="noConversion"/>
  </si>
  <si>
    <t>Type</t>
    <phoneticPr fontId="19" type="noConversion"/>
  </si>
  <si>
    <t>UT</t>
    <phoneticPr fontId="19" type="noConversion"/>
  </si>
  <si>
    <t>ILP</t>
    <phoneticPr fontId="19" type="noConversion"/>
  </si>
  <si>
    <t>EQ</t>
    <phoneticPr fontId="19" type="noConversion"/>
  </si>
  <si>
    <t>S</t>
    <phoneticPr fontId="19" type="noConversion"/>
  </si>
  <si>
    <t>PRS</t>
    <phoneticPr fontId="19" type="noConversion"/>
  </si>
  <si>
    <t>B</t>
    <phoneticPr fontId="19" type="noConversion"/>
  </si>
  <si>
    <t>Share / Equity</t>
    <phoneticPr fontId="19" type="noConversion"/>
  </si>
  <si>
    <t>F</t>
    <phoneticPr fontId="19" type="noConversion"/>
  </si>
  <si>
    <t>E</t>
    <phoneticPr fontId="19" type="noConversion"/>
  </si>
  <si>
    <t>EPF - 14865637</t>
    <phoneticPr fontId="19" type="noConversion"/>
  </si>
  <si>
    <t>EPF - 14999228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</si>
</sst>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(* #,##0.00_);_(* \(#,##0.00\);_(* &quot;-&quot;??_);_(@_)"/>
    <numFmt numFmtId="179" formatCode="0.0000"/>
    <numFmt numFmtId="180" formatCode="&quot;RM&quot;#,##0.00_);[Red]\(&quot;RM&quot;#,##0.00\)"/>
    <numFmt numFmtId="184" formatCode="_(* #,##0_);_(* \(#,##0\);_(* &quot;-&quot;??_);_(@_)"/>
  </numFmts>
  <fonts count="22" x14ac:knownFonts="1">
    <font>
      <sz val="11"/>
      <color theme="1"/>
      <name val="等线"/>
      <charset val="134"/>
      <scheme val="minor"/>
    </font>
    <font>
      <b/>
      <i/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  <font>
      <b/>
      <i/>
      <sz val="11"/>
      <color theme="1"/>
      <name val="Arial"/>
      <family val="2"/>
    </font>
    <font>
      <b/>
      <sz val="11"/>
      <color rgb="FF000000"/>
      <name val="Arial"/>
      <family val="2"/>
    </font>
    <font>
      <b/>
      <sz val="11"/>
      <color theme="1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i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color rgb="FFFFFF00"/>
      <name val="Arial"/>
      <family val="2"/>
    </font>
    <font>
      <b/>
      <sz val="9"/>
      <color rgb="FFFFFF00"/>
      <name val="Arial"/>
      <family val="2"/>
    </font>
    <font>
      <sz val="9"/>
      <color rgb="FFFF0000"/>
      <name val="Arial"/>
      <family val="2"/>
    </font>
    <font>
      <vertAlign val="superscript"/>
      <sz val="11"/>
      <color theme="1"/>
      <name val="Arial"/>
      <family val="2"/>
    </font>
    <font>
      <b/>
      <i/>
      <vertAlign val="superscript"/>
      <sz val="11"/>
      <color theme="1"/>
      <name val="Arial"/>
      <family val="2"/>
    </font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C6D9F1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5DCE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</fills>
  <borders count="26">
    <border>
      <left/>
      <right/>
      <top/>
      <bottom/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thick">
        <color theme="1"/>
      </left>
      <right/>
      <top style="thick">
        <color theme="1"/>
      </top>
      <bottom style="thick">
        <color theme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176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</cellStyleXfs>
  <cellXfs count="257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3" borderId="5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top" wrapText="1"/>
    </xf>
    <xf numFmtId="3" fontId="3" fillId="0" borderId="6" xfId="0" applyNumberFormat="1" applyFont="1" applyBorder="1" applyAlignment="1">
      <alignment horizontal="right" vertical="center" wrapText="1"/>
    </xf>
    <xf numFmtId="2" fontId="3" fillId="0" borderId="6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vertical="center" wrapText="1"/>
    </xf>
    <xf numFmtId="0" fontId="3" fillId="0" borderId="6" xfId="0" applyFont="1" applyBorder="1" applyAlignment="1">
      <alignment horizontal="right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vertical="center" wrapText="1"/>
    </xf>
    <xf numFmtId="0" fontId="2" fillId="3" borderId="7" xfId="0" applyFont="1" applyFill="1" applyBorder="1" applyAlignment="1">
      <alignment horizontal="center" vertical="center" wrapText="1"/>
    </xf>
    <xf numFmtId="10" fontId="4" fillId="0" borderId="6" xfId="2" applyNumberFormat="1" applyFont="1" applyBorder="1" applyAlignment="1">
      <alignment horizontal="center" vertical="center" wrapText="1"/>
    </xf>
    <xf numFmtId="10" fontId="3" fillId="0" borderId="6" xfId="2" applyNumberFormat="1" applyFont="1" applyBorder="1" applyAlignment="1">
      <alignment horizontal="center" vertical="center" wrapText="1"/>
    </xf>
    <xf numFmtId="0" fontId="2" fillId="2" borderId="5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horizontal="center" vertical="center" wrapText="1"/>
    </xf>
    <xf numFmtId="179" fontId="3" fillId="0" borderId="6" xfId="0" applyNumberFormat="1" applyFont="1" applyBorder="1" applyAlignment="1">
      <alignment horizontal="center" vertical="center" wrapText="1"/>
    </xf>
    <xf numFmtId="3" fontId="2" fillId="3" borderId="6" xfId="0" applyNumberFormat="1" applyFont="1" applyFill="1" applyBorder="1" applyAlignment="1">
      <alignment horizontal="right" vertical="center" wrapText="1"/>
    </xf>
    <xf numFmtId="179" fontId="2" fillId="3" borderId="6" xfId="0" applyNumberFormat="1" applyFont="1" applyFill="1" applyBorder="1" applyAlignment="1">
      <alignment horizontal="center" vertical="center" wrapText="1"/>
    </xf>
    <xf numFmtId="0" fontId="5" fillId="0" borderId="5" xfId="0" applyFont="1" applyBorder="1" applyAlignment="1">
      <alignment vertical="center" wrapText="1"/>
    </xf>
    <xf numFmtId="0" fontId="2" fillId="4" borderId="5" xfId="0" applyFont="1" applyFill="1" applyBorder="1" applyAlignment="1">
      <alignment vertical="center" wrapText="1"/>
    </xf>
    <xf numFmtId="3" fontId="2" fillId="4" borderId="6" xfId="0" applyNumberFormat="1" applyFont="1" applyFill="1" applyBorder="1" applyAlignment="1">
      <alignment horizontal="right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179" fontId="2" fillId="4" borderId="6" xfId="0" applyNumberFormat="1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vertical="center" wrapText="1"/>
    </xf>
    <xf numFmtId="3" fontId="3" fillId="0" borderId="12" xfId="0" applyNumberFormat="1" applyFont="1" applyBorder="1" applyAlignment="1">
      <alignment horizontal="center" vertical="center" wrapText="1"/>
    </xf>
    <xf numFmtId="0" fontId="3" fillId="3" borderId="5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vertical="center" wrapText="1"/>
    </xf>
    <xf numFmtId="0" fontId="3" fillId="0" borderId="12" xfId="0" applyFont="1" applyBorder="1" applyAlignment="1">
      <alignment horizontal="center" vertical="center" wrapText="1"/>
    </xf>
    <xf numFmtId="9" fontId="3" fillId="0" borderId="12" xfId="0" applyNumberFormat="1" applyFont="1" applyBorder="1" applyAlignment="1">
      <alignment horizontal="center" vertical="center" wrapText="1"/>
    </xf>
    <xf numFmtId="10" fontId="3" fillId="0" borderId="12" xfId="0" applyNumberFormat="1" applyFont="1" applyBorder="1" applyAlignment="1">
      <alignment horizontal="center" vertical="center" wrapText="1"/>
    </xf>
    <xf numFmtId="3" fontId="7" fillId="0" borderId="12" xfId="0" applyNumberFormat="1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6" xfId="0" applyFont="1" applyBorder="1" applyAlignment="1">
      <alignment vertical="center" wrapText="1"/>
    </xf>
    <xf numFmtId="3" fontId="7" fillId="0" borderId="8" xfId="0" applyNumberFormat="1" applyFont="1" applyBorder="1" applyAlignment="1">
      <alignment horizontal="right" vertical="center" wrapText="1"/>
    </xf>
    <xf numFmtId="0" fontId="7" fillId="0" borderId="8" xfId="0" applyFont="1" applyBorder="1" applyAlignment="1">
      <alignment horizontal="center" vertical="center" wrapText="1"/>
    </xf>
    <xf numFmtId="180" fontId="0" fillId="0" borderId="0" xfId="0" applyNumberFormat="1">
      <alignment vertical="center"/>
    </xf>
    <xf numFmtId="3" fontId="7" fillId="0" borderId="6" xfId="0" applyNumberFormat="1" applyFont="1" applyBorder="1" applyAlignment="1">
      <alignment horizontal="right" vertical="center" wrapText="1"/>
    </xf>
    <xf numFmtId="4" fontId="3" fillId="0" borderId="6" xfId="0" applyNumberFormat="1" applyFont="1" applyBorder="1" applyAlignment="1">
      <alignment horizontal="right" vertical="center" wrapText="1"/>
    </xf>
    <xf numFmtId="4" fontId="0" fillId="0" borderId="0" xfId="0" applyNumberFormat="1">
      <alignment vertical="center"/>
    </xf>
    <xf numFmtId="3" fontId="4" fillId="0" borderId="6" xfId="0" applyNumberFormat="1" applyFont="1" applyBorder="1" applyAlignment="1">
      <alignment horizontal="right" vertical="center" wrapText="1"/>
    </xf>
    <xf numFmtId="3" fontId="0" fillId="0" borderId="0" xfId="0" applyNumberFormat="1">
      <alignment vertical="center"/>
    </xf>
    <xf numFmtId="0" fontId="3" fillId="3" borderId="6" xfId="0" applyFont="1" applyFill="1" applyBorder="1" applyAlignment="1">
      <alignment horizontal="right" vertical="center" wrapText="1"/>
    </xf>
    <xf numFmtId="0" fontId="2" fillId="3" borderId="13" xfId="0" applyFont="1" applyFill="1" applyBorder="1" applyAlignment="1">
      <alignment vertical="center" wrapText="1"/>
    </xf>
    <xf numFmtId="3" fontId="3" fillId="0" borderId="6" xfId="0" applyNumberFormat="1" applyFont="1" applyBorder="1" applyAlignment="1">
      <alignment vertical="center" wrapText="1"/>
    </xf>
    <xf numFmtId="3" fontId="7" fillId="0" borderId="6" xfId="0" applyNumberFormat="1" applyFont="1" applyBorder="1" applyAlignment="1">
      <alignment vertical="center" wrapText="1"/>
    </xf>
    <xf numFmtId="0" fontId="5" fillId="3" borderId="5" xfId="0" applyFont="1" applyFill="1" applyBorder="1" applyAlignment="1">
      <alignment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9" fontId="5" fillId="0" borderId="6" xfId="0" applyNumberFormat="1" applyFont="1" applyBorder="1" applyAlignment="1">
      <alignment horizontal="center" vertical="center" wrapText="1"/>
    </xf>
    <xf numFmtId="3" fontId="5" fillId="0" borderId="6" xfId="0" applyNumberFormat="1" applyFont="1" applyBorder="1" applyAlignment="1">
      <alignment horizontal="right" vertical="center" wrapText="1"/>
    </xf>
    <xf numFmtId="0" fontId="5" fillId="4" borderId="5" xfId="0" applyFont="1" applyFill="1" applyBorder="1" applyAlignment="1">
      <alignment vertical="center" wrapText="1"/>
    </xf>
    <xf numFmtId="0" fontId="5" fillId="4" borderId="6" xfId="0" applyFont="1" applyFill="1" applyBorder="1" applyAlignment="1">
      <alignment vertical="center" wrapText="1"/>
    </xf>
    <xf numFmtId="0" fontId="1" fillId="4" borderId="6" xfId="0" applyFont="1" applyFill="1" applyBorder="1" applyAlignment="1">
      <alignment horizontal="right" vertical="center" wrapText="1"/>
    </xf>
    <xf numFmtId="3" fontId="1" fillId="4" borderId="6" xfId="0" applyNumberFormat="1" applyFont="1" applyFill="1" applyBorder="1" applyAlignment="1">
      <alignment horizontal="right" vertical="center" wrapText="1"/>
    </xf>
    <xf numFmtId="9" fontId="0" fillId="0" borderId="0" xfId="0" applyNumberFormat="1">
      <alignment vertical="center"/>
    </xf>
    <xf numFmtId="0" fontId="3" fillId="5" borderId="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right" vertical="center" wrapText="1"/>
    </xf>
    <xf numFmtId="9" fontId="3" fillId="5" borderId="6" xfId="0" applyNumberFormat="1" applyFont="1" applyFill="1" applyBorder="1" applyAlignment="1">
      <alignment horizontal="center" vertical="center" wrapText="1"/>
    </xf>
    <xf numFmtId="0" fontId="3" fillId="0" borderId="18" xfId="0" applyFont="1" applyBorder="1" applyAlignment="1">
      <alignment vertical="center" wrapText="1"/>
    </xf>
    <xf numFmtId="0" fontId="3" fillId="0" borderId="19" xfId="0" applyFont="1" applyBorder="1" applyAlignment="1">
      <alignment vertical="center" wrapText="1"/>
    </xf>
    <xf numFmtId="0" fontId="3" fillId="0" borderId="19" xfId="0" applyFont="1" applyBorder="1" applyAlignment="1">
      <alignment horizontal="right" vertical="center" wrapText="1"/>
    </xf>
    <xf numFmtId="9" fontId="3" fillId="5" borderId="19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9" fontId="3" fillId="0" borderId="1" xfId="0" applyNumberFormat="1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right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 wrapText="1"/>
    </xf>
    <xf numFmtId="3" fontId="3" fillId="5" borderId="6" xfId="0" applyNumberFormat="1" applyFont="1" applyFill="1" applyBorder="1" applyAlignment="1">
      <alignment horizontal="right" vertical="center" wrapText="1"/>
    </xf>
    <xf numFmtId="0" fontId="3" fillId="4" borderId="5" xfId="0" applyFont="1" applyFill="1" applyBorder="1" applyAlignment="1">
      <alignment vertical="center" wrapText="1"/>
    </xf>
    <xf numFmtId="0" fontId="6" fillId="4" borderId="6" xfId="0" applyFont="1" applyFill="1" applyBorder="1" applyAlignment="1">
      <alignment vertical="center" wrapText="1"/>
    </xf>
    <xf numFmtId="0" fontId="3" fillId="4" borderId="6" xfId="0" applyFont="1" applyFill="1" applyBorder="1" applyAlignment="1">
      <alignment horizontal="right" vertical="center" wrapText="1"/>
    </xf>
    <xf numFmtId="9" fontId="3" fillId="0" borderId="6" xfId="0" applyNumberFormat="1" applyFont="1" applyBorder="1" applyAlignment="1">
      <alignment horizontal="center" vertical="center" wrapText="1"/>
    </xf>
    <xf numFmtId="0" fontId="7" fillId="3" borderId="5" xfId="0" applyFont="1" applyFill="1" applyBorder="1" applyAlignment="1">
      <alignment vertical="center" wrapText="1"/>
    </xf>
    <xf numFmtId="0" fontId="7" fillId="3" borderId="6" xfId="0" applyFont="1" applyFill="1" applyBorder="1" applyAlignment="1">
      <alignment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vertical="center" wrapText="1"/>
    </xf>
    <xf numFmtId="10" fontId="3" fillId="5" borderId="6" xfId="0" applyNumberFormat="1" applyFont="1" applyFill="1" applyBorder="1" applyAlignment="1">
      <alignment horizontal="right" vertical="center" wrapText="1"/>
    </xf>
    <xf numFmtId="0" fontId="3" fillId="5" borderId="6" xfId="0" applyFont="1" applyFill="1" applyBorder="1" applyAlignment="1">
      <alignment horizontal="right" vertical="center" wrapText="1"/>
    </xf>
    <xf numFmtId="10" fontId="3" fillId="0" borderId="6" xfId="0" applyNumberFormat="1" applyFont="1" applyBorder="1" applyAlignment="1">
      <alignment horizontal="right" vertical="center" wrapText="1"/>
    </xf>
    <xf numFmtId="0" fontId="7" fillId="0" borderId="6" xfId="0" applyFont="1" applyBorder="1" applyAlignment="1">
      <alignment vertical="center" wrapText="1"/>
    </xf>
    <xf numFmtId="0" fontId="7" fillId="0" borderId="6" xfId="0" applyFont="1" applyBorder="1" applyAlignment="1">
      <alignment horizontal="right" vertical="center" wrapText="1"/>
    </xf>
    <xf numFmtId="0" fontId="7" fillId="4" borderId="5" xfId="0" applyFont="1" applyFill="1" applyBorder="1" applyAlignment="1">
      <alignment vertical="center" wrapText="1"/>
    </xf>
    <xf numFmtId="3" fontId="6" fillId="4" borderId="6" xfId="0" applyNumberFormat="1" applyFont="1" applyFill="1" applyBorder="1" applyAlignment="1">
      <alignment horizontal="right" vertical="center" wrapText="1"/>
    </xf>
    <xf numFmtId="0" fontId="6" fillId="7" borderId="5" xfId="0" applyFont="1" applyFill="1" applyBorder="1" applyAlignment="1">
      <alignment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right" vertical="center" wrapText="1"/>
    </xf>
    <xf numFmtId="3" fontId="6" fillId="7" borderId="6" xfId="0" applyNumberFormat="1" applyFont="1" applyFill="1" applyBorder="1" applyAlignment="1">
      <alignment horizontal="righ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4" borderId="6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vertical="center" wrapText="1"/>
    </xf>
    <xf numFmtId="3" fontId="3" fillId="8" borderId="6" xfId="0" applyNumberFormat="1" applyFont="1" applyFill="1" applyBorder="1" applyAlignment="1">
      <alignment horizontal="right" vertical="center" wrapText="1"/>
    </xf>
    <xf numFmtId="0" fontId="6" fillId="9" borderId="5" xfId="0" applyFont="1" applyFill="1" applyBorder="1" applyAlignment="1">
      <alignment vertical="center" wrapText="1"/>
    </xf>
    <xf numFmtId="3" fontId="6" fillId="9" borderId="6" xfId="0" applyNumberFormat="1" applyFont="1" applyFill="1" applyBorder="1" applyAlignment="1">
      <alignment horizontal="right" vertical="center" wrapText="1"/>
    </xf>
    <xf numFmtId="0" fontId="0" fillId="0" borderId="20" xfId="0" applyBorder="1">
      <alignment vertical="center"/>
    </xf>
    <xf numFmtId="0" fontId="0" fillId="0" borderId="1" xfId="0" applyBorder="1" applyAlignment="1">
      <alignment horizontal="right" vertical="center"/>
    </xf>
    <xf numFmtId="3" fontId="0" fillId="0" borderId="20" xfId="0" applyNumberFormat="1" applyBorder="1">
      <alignment vertical="center"/>
    </xf>
    <xf numFmtId="3" fontId="2" fillId="0" borderId="6" xfId="0" applyNumberFormat="1" applyFont="1" applyBorder="1" applyAlignment="1">
      <alignment horizontal="right" vertical="center" wrapText="1"/>
    </xf>
    <xf numFmtId="0" fontId="4" fillId="0" borderId="6" xfId="0" applyFont="1" applyBorder="1" applyAlignment="1">
      <alignment horizontal="right" vertical="center" wrapText="1"/>
    </xf>
    <xf numFmtId="0" fontId="4" fillId="3" borderId="6" xfId="0" applyFont="1" applyFill="1" applyBorder="1" applyAlignment="1">
      <alignment horizontal="right" vertical="center" wrapText="1"/>
    </xf>
    <xf numFmtId="3" fontId="6" fillId="3" borderId="6" xfId="0" applyNumberFormat="1" applyFont="1" applyFill="1" applyBorder="1" applyAlignment="1">
      <alignment horizontal="right" vertical="center" wrapText="1"/>
    </xf>
    <xf numFmtId="3" fontId="3" fillId="0" borderId="5" xfId="0" applyNumberFormat="1" applyFont="1" applyBorder="1" applyAlignment="1">
      <alignment horizontal="right" vertical="center" wrapText="1"/>
    </xf>
    <xf numFmtId="0" fontId="2" fillId="4" borderId="4" xfId="0" applyFont="1" applyFill="1" applyBorder="1" applyAlignment="1">
      <alignment vertical="center" wrapText="1"/>
    </xf>
    <xf numFmtId="3" fontId="3" fillId="5" borderId="1" xfId="0" applyNumberFormat="1" applyFont="1" applyFill="1" applyBorder="1" applyAlignment="1">
      <alignment horizontal="right" vertical="center" wrapText="1"/>
    </xf>
    <xf numFmtId="0" fontId="0" fillId="10" borderId="1" xfId="0" applyFill="1" applyBorder="1">
      <alignment vertical="center"/>
    </xf>
    <xf numFmtId="3" fontId="0" fillId="0" borderId="1" xfId="0" applyNumberFormat="1" applyBorder="1">
      <alignment vertical="center"/>
    </xf>
    <xf numFmtId="0" fontId="8" fillId="0" borderId="0" xfId="0" applyFont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3" fontId="11" fillId="5" borderId="1" xfId="0" applyNumberFormat="1" applyFont="1" applyFill="1" applyBorder="1" applyAlignment="1">
      <alignment horizontal="right" vertical="center" wrapText="1"/>
    </xf>
    <xf numFmtId="3" fontId="11" fillId="0" borderId="1" xfId="0" applyNumberFormat="1" applyFont="1" applyBorder="1" applyAlignment="1">
      <alignment horizontal="right" vertical="center" wrapText="1"/>
    </xf>
    <xf numFmtId="0" fontId="11" fillId="0" borderId="0" xfId="0" applyFont="1" applyAlignment="1">
      <alignment horizontal="right" vertical="center" wrapText="1"/>
    </xf>
    <xf numFmtId="0" fontId="8" fillId="7" borderId="1" xfId="0" applyFont="1" applyFill="1" applyBorder="1" applyAlignment="1">
      <alignment vertical="center" wrapText="1"/>
    </xf>
    <xf numFmtId="3" fontId="8" fillId="7" borderId="1" xfId="0" applyNumberFormat="1" applyFont="1" applyFill="1" applyBorder="1" applyAlignment="1">
      <alignment horizontal="right" vertical="center" wrapText="1"/>
    </xf>
    <xf numFmtId="3" fontId="9" fillId="7" borderId="1" xfId="0" applyNumberFormat="1" applyFont="1" applyFill="1" applyBorder="1" applyAlignment="1">
      <alignment horizontal="right" vertical="center" wrapText="1"/>
    </xf>
    <xf numFmtId="3" fontId="12" fillId="7" borderId="1" xfId="0" applyNumberFormat="1" applyFont="1" applyFill="1" applyBorder="1" applyAlignment="1">
      <alignment horizontal="right" vertical="center" wrapText="1"/>
    </xf>
    <xf numFmtId="0" fontId="11" fillId="5" borderId="1" xfId="0" applyFont="1" applyFill="1" applyBorder="1" applyAlignment="1">
      <alignment horizontal="right" vertical="center" wrapText="1"/>
    </xf>
    <xf numFmtId="3" fontId="8" fillId="0" borderId="0" xfId="0" applyNumberFormat="1" applyFont="1" applyAlignment="1">
      <alignment horizontal="right" vertical="center" wrapText="1"/>
    </xf>
    <xf numFmtId="3" fontId="11" fillId="8" borderId="1" xfId="0" applyNumberFormat="1" applyFont="1" applyFill="1" applyBorder="1" applyAlignment="1">
      <alignment horizontal="right" vertical="center" wrapText="1"/>
    </xf>
    <xf numFmtId="3" fontId="11" fillId="0" borderId="0" xfId="0" applyNumberFormat="1" applyFont="1" applyAlignment="1">
      <alignment horizontal="right" vertical="center" wrapText="1"/>
    </xf>
    <xf numFmtId="0" fontId="11" fillId="8" borderId="1" xfId="0" applyFont="1" applyFill="1" applyBorder="1" applyAlignment="1">
      <alignment horizontal="right" vertical="center" wrapText="1"/>
    </xf>
    <xf numFmtId="0" fontId="8" fillId="0" borderId="1" xfId="0" applyFont="1" applyBorder="1" applyAlignment="1">
      <alignment vertical="center" wrapText="1"/>
    </xf>
    <xf numFmtId="3" fontId="8" fillId="5" borderId="1" xfId="0" applyNumberFormat="1" applyFont="1" applyFill="1" applyBorder="1" applyAlignment="1">
      <alignment horizontal="right" vertical="center" wrapText="1"/>
    </xf>
    <xf numFmtId="0" fontId="8" fillId="5" borderId="1" xfId="0" applyFont="1" applyFill="1" applyBorder="1" applyAlignment="1">
      <alignment horizontal="right" vertical="center" wrapText="1"/>
    </xf>
    <xf numFmtId="0" fontId="8" fillId="9" borderId="1" xfId="0" applyFont="1" applyFill="1" applyBorder="1" applyAlignment="1">
      <alignment vertical="center" wrapText="1"/>
    </xf>
    <xf numFmtId="3" fontId="8" fillId="9" borderId="1" xfId="0" applyNumberFormat="1" applyFont="1" applyFill="1" applyBorder="1" applyAlignment="1">
      <alignment horizontal="right" vertical="center" wrapText="1"/>
    </xf>
    <xf numFmtId="3" fontId="9" fillId="9" borderId="1" xfId="0" applyNumberFormat="1" applyFont="1" applyFill="1" applyBorder="1" applyAlignment="1">
      <alignment horizontal="right" vertical="center" wrapText="1"/>
    </xf>
    <xf numFmtId="0" fontId="13" fillId="11" borderId="1" xfId="0" applyFont="1" applyFill="1" applyBorder="1" applyAlignment="1">
      <alignment vertical="center" wrapText="1"/>
    </xf>
    <xf numFmtId="3" fontId="13" fillId="11" borderId="1" xfId="0" applyNumberFormat="1" applyFont="1" applyFill="1" applyBorder="1" applyAlignment="1">
      <alignment horizontal="right" vertical="center" wrapText="1"/>
    </xf>
    <xf numFmtId="3" fontId="14" fillId="11" borderId="1" xfId="0" applyNumberFormat="1" applyFont="1" applyFill="1" applyBorder="1" applyAlignment="1">
      <alignment horizontal="right" vertical="center" wrapText="1"/>
    </xf>
    <xf numFmtId="0" fontId="8" fillId="3" borderId="5" xfId="0" applyFont="1" applyFill="1" applyBorder="1" applyAlignment="1">
      <alignment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vertical="center" wrapText="1"/>
    </xf>
    <xf numFmtId="3" fontId="11" fillId="0" borderId="6" xfId="0" applyNumberFormat="1" applyFont="1" applyBorder="1" applyAlignment="1">
      <alignment horizontal="right" vertical="center" wrapText="1"/>
    </xf>
    <xf numFmtId="0" fontId="11" fillId="0" borderId="6" xfId="0" applyFont="1" applyBorder="1" applyAlignment="1">
      <alignment horizontal="right" vertical="center" wrapText="1"/>
    </xf>
    <xf numFmtId="3" fontId="8" fillId="7" borderId="6" xfId="0" applyNumberFormat="1" applyFont="1" applyFill="1" applyBorder="1" applyAlignment="1">
      <alignment horizontal="right" vertical="center" wrapText="1"/>
    </xf>
    <xf numFmtId="0" fontId="11" fillId="3" borderId="6" xfId="0" applyFont="1" applyFill="1" applyBorder="1" applyAlignment="1">
      <alignment horizontal="right" vertical="center" wrapText="1"/>
    </xf>
    <xf numFmtId="3" fontId="8" fillId="3" borderId="6" xfId="0" applyNumberFormat="1" applyFont="1" applyFill="1" applyBorder="1" applyAlignment="1">
      <alignment horizontal="right" vertical="center" wrapText="1"/>
    </xf>
    <xf numFmtId="0" fontId="10" fillId="0" borderId="5" xfId="0" applyFont="1" applyBorder="1" applyAlignment="1">
      <alignment vertical="center" wrapText="1"/>
    </xf>
    <xf numFmtId="3" fontId="15" fillId="0" borderId="6" xfId="0" applyNumberFormat="1" applyFont="1" applyBorder="1" applyAlignment="1">
      <alignment horizontal="right" vertical="center" wrapText="1"/>
    </xf>
    <xf numFmtId="3" fontId="15" fillId="7" borderId="6" xfId="0" applyNumberFormat="1" applyFont="1" applyFill="1" applyBorder="1" applyAlignment="1">
      <alignment horizontal="right" vertical="center" wrapText="1"/>
    </xf>
    <xf numFmtId="3" fontId="15" fillId="3" borderId="6" xfId="0" applyNumberFormat="1" applyFont="1" applyFill="1" applyBorder="1" applyAlignment="1">
      <alignment horizontal="right" vertical="center" wrapText="1"/>
    </xf>
    <xf numFmtId="0" fontId="8" fillId="0" borderId="5" xfId="0" applyFont="1" applyBorder="1" applyAlignment="1">
      <alignment vertical="center" wrapText="1"/>
    </xf>
    <xf numFmtId="3" fontId="8" fillId="0" borderId="6" xfId="0" applyNumberFormat="1" applyFont="1" applyBorder="1" applyAlignment="1">
      <alignment horizontal="right" vertical="center" wrapText="1"/>
    </xf>
    <xf numFmtId="0" fontId="8" fillId="4" borderId="5" xfId="0" applyFont="1" applyFill="1" applyBorder="1" applyAlignment="1">
      <alignment vertical="center" wrapText="1"/>
    </xf>
    <xf numFmtId="3" fontId="15" fillId="9" borderId="6" xfId="0" applyNumberFormat="1" applyFont="1" applyFill="1" applyBorder="1" applyAlignment="1">
      <alignment horizontal="right" vertical="center" wrapText="1"/>
    </xf>
    <xf numFmtId="3" fontId="15" fillId="4" borderId="6" xfId="0" applyNumberFormat="1" applyFont="1" applyFill="1" applyBorder="1" applyAlignment="1">
      <alignment horizontal="right" vertical="center" wrapText="1"/>
    </xf>
    <xf numFmtId="1" fontId="15" fillId="4" borderId="6" xfId="0" applyNumberFormat="1" applyFont="1" applyFill="1" applyBorder="1" applyAlignment="1">
      <alignment horizontal="right" vertical="center" wrapText="1"/>
    </xf>
    <xf numFmtId="0" fontId="8" fillId="11" borderId="14" xfId="0" applyFont="1" applyFill="1" applyBorder="1" applyAlignment="1">
      <alignment horizontal="center" vertical="center" wrapText="1"/>
    </xf>
    <xf numFmtId="0" fontId="8" fillId="11" borderId="15" xfId="0" applyFont="1" applyFill="1" applyBorder="1" applyAlignment="1">
      <alignment horizontal="center" vertical="center" wrapText="1"/>
    </xf>
    <xf numFmtId="0" fontId="8" fillId="11" borderId="13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11" borderId="21" xfId="0" applyFont="1" applyFill="1" applyBorder="1" applyAlignment="1">
      <alignment horizontal="center" vertical="center" wrapText="1"/>
    </xf>
    <xf numFmtId="0" fontId="8" fillId="11" borderId="0" xfId="0" applyFont="1" applyFill="1" applyAlignment="1">
      <alignment horizontal="center" vertical="center" wrapText="1"/>
    </xf>
    <xf numFmtId="0" fontId="8" fillId="11" borderId="19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2" fillId="6" borderId="14" xfId="0" applyFont="1" applyFill="1" applyBorder="1" applyAlignment="1">
      <alignment horizontal="center" vertical="center" wrapText="1"/>
    </xf>
    <xf numFmtId="0" fontId="2" fillId="6" borderId="15" xfId="0" applyFont="1" applyFill="1" applyBorder="1" applyAlignment="1">
      <alignment horizontal="center" vertical="center" wrapText="1"/>
    </xf>
    <xf numFmtId="0" fontId="2" fillId="6" borderId="13" xfId="0" applyFont="1" applyFill="1" applyBorder="1" applyAlignment="1">
      <alignment horizontal="center" vertical="center" wrapText="1"/>
    </xf>
    <xf numFmtId="0" fontId="2" fillId="6" borderId="16" xfId="0" applyFont="1" applyFill="1" applyBorder="1" applyAlignment="1">
      <alignment horizontal="center" vertical="center" wrapText="1"/>
    </xf>
    <xf numFmtId="0" fontId="2" fillId="6" borderId="17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4" borderId="17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vertical="center" wrapText="1"/>
    </xf>
    <xf numFmtId="0" fontId="6" fillId="4" borderId="3" xfId="0" applyFont="1" applyFill="1" applyBorder="1" applyAlignment="1">
      <alignment vertical="center" wrapText="1"/>
    </xf>
    <xf numFmtId="0" fontId="6" fillId="4" borderId="4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3" fontId="7" fillId="0" borderId="8" xfId="0" applyNumberFormat="1" applyFont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0" fillId="0" borderId="0" xfId="0" applyFont="1">
      <alignment vertical="center"/>
    </xf>
    <xf numFmtId="176" fontId="0" fillId="0" borderId="0" xfId="1" applyFont="1">
      <alignment vertical="center"/>
    </xf>
    <xf numFmtId="176" fontId="0" fillId="0" borderId="0" xfId="0" applyNumberFormat="1">
      <alignment vertical="center"/>
    </xf>
    <xf numFmtId="0" fontId="20" fillId="8" borderId="0" xfId="0" applyFont="1" applyFill="1" applyBorder="1">
      <alignment vertical="center"/>
    </xf>
    <xf numFmtId="0" fontId="0" fillId="8" borderId="0" xfId="0" applyFill="1" applyBorder="1">
      <alignment vertical="center"/>
    </xf>
    <xf numFmtId="176" fontId="0" fillId="8" borderId="0" xfId="1" applyFont="1" applyFill="1" applyBorder="1">
      <alignment vertical="center"/>
    </xf>
    <xf numFmtId="176" fontId="0" fillId="8" borderId="0" xfId="0" applyNumberFormat="1" applyFill="1" applyBorder="1">
      <alignment vertical="center"/>
    </xf>
    <xf numFmtId="0" fontId="0" fillId="0" borderId="8" xfId="0" applyBorder="1">
      <alignment vertical="center"/>
    </xf>
    <xf numFmtId="0" fontId="20" fillId="0" borderId="8" xfId="0" applyFont="1" applyBorder="1">
      <alignment vertical="center"/>
    </xf>
    <xf numFmtId="176" fontId="0" fillId="5" borderId="8" xfId="1" applyNumberFormat="1" applyFont="1" applyFill="1" applyBorder="1">
      <alignment vertical="center"/>
    </xf>
    <xf numFmtId="176" fontId="0" fillId="0" borderId="8" xfId="1" applyNumberFormat="1" applyFont="1" applyBorder="1">
      <alignment vertical="center"/>
    </xf>
    <xf numFmtId="176" fontId="0" fillId="8" borderId="8" xfId="1" applyNumberFormat="1" applyFont="1" applyFill="1" applyBorder="1">
      <alignment vertical="center"/>
    </xf>
    <xf numFmtId="10" fontId="0" fillId="0" borderId="8" xfId="2" applyNumberFormat="1" applyFont="1" applyBorder="1">
      <alignment vertical="center"/>
    </xf>
    <xf numFmtId="176" fontId="20" fillId="5" borderId="8" xfId="1" applyNumberFormat="1" applyFont="1" applyFill="1" applyBorder="1">
      <alignment vertical="center"/>
    </xf>
    <xf numFmtId="0" fontId="20" fillId="8" borderId="8" xfId="0" applyFont="1" applyFill="1" applyBorder="1">
      <alignment vertical="center"/>
    </xf>
    <xf numFmtId="0" fontId="20" fillId="0" borderId="22" xfId="0" applyFont="1" applyBorder="1">
      <alignment vertical="center"/>
    </xf>
    <xf numFmtId="176" fontId="0" fillId="5" borderId="22" xfId="1" applyNumberFormat="1" applyFont="1" applyFill="1" applyBorder="1">
      <alignment vertical="center"/>
    </xf>
    <xf numFmtId="176" fontId="0" fillId="0" borderId="22" xfId="1" applyNumberFormat="1" applyFont="1" applyBorder="1">
      <alignment vertical="center"/>
    </xf>
    <xf numFmtId="176" fontId="0" fillId="8" borderId="22" xfId="1" applyNumberFormat="1" applyFont="1" applyFill="1" applyBorder="1">
      <alignment vertical="center"/>
    </xf>
    <xf numFmtId="10" fontId="0" fillId="0" borderId="22" xfId="2" applyNumberFormat="1" applyFont="1" applyBorder="1">
      <alignment vertical="center"/>
    </xf>
    <xf numFmtId="0" fontId="20" fillId="8" borderId="23" xfId="0" applyFont="1" applyFill="1" applyBorder="1">
      <alignment vertical="center"/>
    </xf>
    <xf numFmtId="176" fontId="0" fillId="8" borderId="24" xfId="0" applyNumberFormat="1" applyFill="1" applyBorder="1">
      <alignment vertical="center"/>
    </xf>
    <xf numFmtId="176" fontId="0" fillId="12" borderId="24" xfId="0" applyNumberFormat="1" applyFill="1" applyBorder="1">
      <alignment vertical="center"/>
    </xf>
    <xf numFmtId="10" fontId="0" fillId="12" borderId="25" xfId="2" applyNumberFormat="1" applyFont="1" applyFill="1" applyBorder="1">
      <alignment vertical="center"/>
    </xf>
    <xf numFmtId="176" fontId="0" fillId="0" borderId="8" xfId="0" applyNumberFormat="1" applyBorder="1">
      <alignment vertical="center"/>
    </xf>
    <xf numFmtId="176" fontId="0" fillId="5" borderId="8" xfId="1" applyFont="1" applyFill="1" applyBorder="1">
      <alignment vertical="center"/>
    </xf>
    <xf numFmtId="176" fontId="0" fillId="5" borderId="22" xfId="1" applyFont="1" applyFill="1" applyBorder="1">
      <alignment vertical="center"/>
    </xf>
    <xf numFmtId="176" fontId="0" fillId="0" borderId="22" xfId="0" applyNumberFormat="1" applyBorder="1">
      <alignment vertical="center"/>
    </xf>
    <xf numFmtId="0" fontId="20" fillId="0" borderId="2" xfId="0" applyFont="1" applyBorder="1">
      <alignment vertical="center"/>
    </xf>
    <xf numFmtId="176" fontId="0" fillId="0" borderId="3" xfId="0" applyNumberFormat="1" applyBorder="1">
      <alignment vertical="center"/>
    </xf>
    <xf numFmtId="176" fontId="0" fillId="12" borderId="3" xfId="0" applyNumberFormat="1" applyFill="1" applyBorder="1">
      <alignment vertical="center"/>
    </xf>
    <xf numFmtId="0" fontId="0" fillId="13" borderId="8" xfId="0" applyFill="1" applyBorder="1">
      <alignment vertical="center"/>
    </xf>
    <xf numFmtId="0" fontId="20" fillId="13" borderId="8" xfId="0" applyFont="1" applyFill="1" applyBorder="1">
      <alignment vertical="center"/>
    </xf>
    <xf numFmtId="0" fontId="20" fillId="0" borderId="8" xfId="0" applyFont="1" applyFill="1" applyBorder="1">
      <alignment vertical="center"/>
    </xf>
    <xf numFmtId="184" fontId="0" fillId="0" borderId="8" xfId="1" applyNumberFormat="1" applyFont="1" applyBorder="1">
      <alignment vertical="center"/>
    </xf>
    <xf numFmtId="176" fontId="0" fillId="0" borderId="8" xfId="1" applyFont="1" applyBorder="1">
      <alignment vertical="center"/>
    </xf>
    <xf numFmtId="2" fontId="0" fillId="0" borderId="8" xfId="0" applyNumberFormat="1" applyBorder="1">
      <alignment vertical="center"/>
    </xf>
    <xf numFmtId="9" fontId="0" fillId="0" borderId="8" xfId="2" applyFont="1" applyBorder="1">
      <alignment vertical="center"/>
    </xf>
    <xf numFmtId="184" fontId="0" fillId="0" borderId="8" xfId="0" applyNumberFormat="1" applyBorder="1">
      <alignment vertical="center"/>
    </xf>
    <xf numFmtId="176" fontId="0" fillId="12" borderId="8" xfId="1" applyNumberFormat="1" applyFont="1" applyFill="1" applyBorder="1">
      <alignment vertical="center"/>
    </xf>
    <xf numFmtId="0" fontId="20" fillId="0" borderId="23" xfId="0" applyFont="1" applyFill="1" applyBorder="1">
      <alignment vertical="center"/>
    </xf>
    <xf numFmtId="176" fontId="0" fillId="12" borderId="25" xfId="1" applyNumberFormat="1" applyFont="1" applyFill="1" applyBorder="1">
      <alignment vertical="center"/>
    </xf>
    <xf numFmtId="176" fontId="0" fillId="12" borderId="24" xfId="1" applyNumberFormat="1" applyFont="1" applyFill="1" applyBorder="1">
      <alignment vertical="center"/>
    </xf>
    <xf numFmtId="176" fontId="0" fillId="12" borderId="3" xfId="1" applyFont="1" applyFill="1" applyBorder="1">
      <alignment vertical="center"/>
    </xf>
    <xf numFmtId="0" fontId="20" fillId="0" borderId="8" xfId="0" applyFont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Percent" xfId="2" builtinId="5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43"/>
  <sheetViews>
    <sheetView workbookViewId="0">
      <selection activeCell="C23" sqref="C23"/>
    </sheetView>
  </sheetViews>
  <sheetFormatPr defaultColWidth="9" defaultRowHeight="14" x14ac:dyDescent="0.45"/>
  <cols>
    <col min="2" max="2" width="33.29296875" customWidth="1"/>
    <col min="3" max="7" width="13.5859375" customWidth="1"/>
    <col min="9" max="9" width="45.1171875" customWidth="1"/>
    <col min="10" max="13" width="13.703125" customWidth="1"/>
  </cols>
  <sheetData>
    <row r="2" spans="2:13" x14ac:dyDescent="0.45">
      <c r="B2" s="160" t="s">
        <v>0</v>
      </c>
      <c r="C2" s="161"/>
      <c r="D2" s="161"/>
      <c r="E2" s="161"/>
      <c r="F2" s="162"/>
      <c r="G2" s="118"/>
      <c r="I2" s="163" t="s">
        <v>1</v>
      </c>
      <c r="J2" s="164"/>
      <c r="K2" s="164"/>
      <c r="L2" s="164"/>
      <c r="M2" s="165"/>
    </row>
    <row r="3" spans="2:13" x14ac:dyDescent="0.45">
      <c r="B3" s="166" t="s">
        <v>2</v>
      </c>
      <c r="C3" s="167"/>
      <c r="D3" s="167"/>
      <c r="E3" s="167"/>
      <c r="F3" s="168"/>
      <c r="G3" s="118"/>
      <c r="I3" s="169" t="s">
        <v>3</v>
      </c>
      <c r="J3" s="170"/>
      <c r="K3" s="170"/>
      <c r="L3" s="170"/>
      <c r="M3" s="171"/>
    </row>
    <row r="4" spans="2:13" ht="23" customHeight="1" x14ac:dyDescent="0.45">
      <c r="B4" s="172" t="s">
        <v>4</v>
      </c>
      <c r="C4" s="172"/>
      <c r="D4" s="172"/>
      <c r="E4" s="172"/>
      <c r="F4" s="172"/>
      <c r="G4" s="118"/>
      <c r="I4" s="142" t="s">
        <v>4</v>
      </c>
      <c r="J4" s="96" t="s">
        <v>5</v>
      </c>
      <c r="K4" s="96" t="s">
        <v>6</v>
      </c>
      <c r="L4" s="96" t="s">
        <v>7</v>
      </c>
      <c r="M4" s="96" t="s">
        <v>8</v>
      </c>
    </row>
    <row r="5" spans="2:13" ht="23" customHeight="1" x14ac:dyDescent="0.45">
      <c r="B5" s="119" t="s">
        <v>9</v>
      </c>
      <c r="C5" s="96" t="s">
        <v>10</v>
      </c>
      <c r="D5" s="96" t="s">
        <v>11</v>
      </c>
      <c r="E5" s="96" t="s">
        <v>12</v>
      </c>
      <c r="F5" s="96" t="s">
        <v>8</v>
      </c>
      <c r="G5" s="118"/>
      <c r="I5" s="142"/>
      <c r="J5" s="143"/>
      <c r="K5" s="143"/>
      <c r="L5" s="143"/>
      <c r="M5" s="143"/>
    </row>
    <row r="6" spans="2:13" ht="19" customHeight="1" x14ac:dyDescent="0.45">
      <c r="B6" s="120" t="s">
        <v>13</v>
      </c>
      <c r="C6" s="121">
        <f>4500*12</f>
        <v>54000</v>
      </c>
      <c r="D6" s="121">
        <f>4500*12</f>
        <v>54000</v>
      </c>
      <c r="E6" s="122">
        <f>SUM(C6:D6)</f>
        <v>108000</v>
      </c>
      <c r="F6" s="122">
        <f t="shared" ref="F6:F17" si="0">E6/12</f>
        <v>9000</v>
      </c>
      <c r="G6" s="123"/>
      <c r="I6" s="144" t="s">
        <v>13</v>
      </c>
      <c r="J6" s="145">
        <v>600000</v>
      </c>
      <c r="K6" s="145">
        <v>600000</v>
      </c>
      <c r="L6" s="145">
        <f>SUM(J6:K6)</f>
        <v>1200000</v>
      </c>
      <c r="M6" s="146"/>
    </row>
    <row r="7" spans="2:13" ht="19" customHeight="1" x14ac:dyDescent="0.45">
      <c r="B7" s="120" t="s">
        <v>14</v>
      </c>
      <c r="C7" s="121" t="s">
        <v>15</v>
      </c>
      <c r="D7" s="121" t="s">
        <v>15</v>
      </c>
      <c r="E7" s="122">
        <f t="shared" ref="E7:E8" si="1">SUM(C7:D7)</f>
        <v>0</v>
      </c>
      <c r="F7" s="122">
        <f t="shared" si="0"/>
        <v>0</v>
      </c>
      <c r="G7" s="123"/>
      <c r="I7" s="144" t="s">
        <v>14</v>
      </c>
      <c r="J7" s="145">
        <v>200000</v>
      </c>
      <c r="K7" s="145">
        <v>100000</v>
      </c>
      <c r="L7" s="145">
        <f t="shared" ref="L7:L16" si="2">SUM(J7:K7)</f>
        <v>300000</v>
      </c>
      <c r="M7" s="146"/>
    </row>
    <row r="8" spans="2:13" ht="19" customHeight="1" x14ac:dyDescent="0.45">
      <c r="B8" s="120" t="s">
        <v>16</v>
      </c>
      <c r="C8" s="121">
        <f>C6*0.13</f>
        <v>7020</v>
      </c>
      <c r="D8" s="121">
        <f>D6*0.13</f>
        <v>7020</v>
      </c>
      <c r="E8" s="122">
        <f t="shared" si="1"/>
        <v>14040</v>
      </c>
      <c r="F8" s="122">
        <f t="shared" si="0"/>
        <v>1170</v>
      </c>
      <c r="G8" s="123"/>
      <c r="I8" s="144" t="s">
        <v>16</v>
      </c>
      <c r="J8" s="145">
        <v>72000</v>
      </c>
      <c r="K8" s="145">
        <v>72000</v>
      </c>
      <c r="L8" s="145">
        <f t="shared" si="2"/>
        <v>144000</v>
      </c>
      <c r="M8" s="146"/>
    </row>
    <row r="9" spans="2:13" ht="19" customHeight="1" x14ac:dyDescent="0.45">
      <c r="B9" s="124" t="s">
        <v>17</v>
      </c>
      <c r="C9" s="125">
        <f>SUM(C6:C8)</f>
        <v>61020</v>
      </c>
      <c r="D9" s="125">
        <f t="shared" ref="D9:E9" si="3">SUM(D6:D8)</f>
        <v>61020</v>
      </c>
      <c r="E9" s="126">
        <f t="shared" si="3"/>
        <v>122040</v>
      </c>
      <c r="F9" s="127">
        <f t="shared" si="0"/>
        <v>10170</v>
      </c>
      <c r="G9" s="123"/>
      <c r="I9" s="142" t="s">
        <v>17</v>
      </c>
      <c r="J9" s="147">
        <f>SUM(J6:J8)</f>
        <v>872000</v>
      </c>
      <c r="K9" s="147">
        <f t="shared" ref="K9" si="4">SUM(K6:K8)</f>
        <v>772000</v>
      </c>
      <c r="L9" s="147">
        <f t="shared" ref="L9" si="5">SUM(L6:L8)</f>
        <v>1644000</v>
      </c>
      <c r="M9" s="148"/>
    </row>
    <row r="10" spans="2:13" ht="19" customHeight="1" x14ac:dyDescent="0.45">
      <c r="B10" s="120" t="s">
        <v>18</v>
      </c>
      <c r="C10" s="121">
        <f>C6*0.11</f>
        <v>5940</v>
      </c>
      <c r="D10" s="121">
        <f>D6*0.11</f>
        <v>5940</v>
      </c>
      <c r="E10" s="122">
        <f>SUM(C10:D10)</f>
        <v>11880</v>
      </c>
      <c r="F10" s="122">
        <f t="shared" si="0"/>
        <v>990</v>
      </c>
      <c r="G10" s="123"/>
      <c r="I10" s="144" t="s">
        <v>18</v>
      </c>
      <c r="J10" s="145">
        <v>66000</v>
      </c>
      <c r="K10" s="145">
        <v>66000</v>
      </c>
      <c r="L10" s="145">
        <f t="shared" si="2"/>
        <v>132000</v>
      </c>
      <c r="M10" s="146"/>
    </row>
    <row r="11" spans="2:13" ht="19" customHeight="1" x14ac:dyDescent="0.45">
      <c r="B11" s="120" t="s">
        <v>19</v>
      </c>
      <c r="C11" s="121">
        <f>C6*0.13</f>
        <v>7020</v>
      </c>
      <c r="D11" s="121">
        <f>D6*0.13</f>
        <v>7020</v>
      </c>
      <c r="E11" s="122">
        <f t="shared" ref="E11:E16" si="6">SUM(C11:D11)</f>
        <v>14040</v>
      </c>
      <c r="F11" s="122">
        <f t="shared" si="0"/>
        <v>1170</v>
      </c>
      <c r="G11" s="123"/>
      <c r="I11" s="144" t="s">
        <v>19</v>
      </c>
      <c r="J11" s="145">
        <v>72000</v>
      </c>
      <c r="K11" s="145">
        <v>72000</v>
      </c>
      <c r="L11" s="145">
        <f t="shared" si="2"/>
        <v>144000</v>
      </c>
      <c r="M11" s="146"/>
    </row>
    <row r="12" spans="2:13" ht="19" customHeight="1" x14ac:dyDescent="0.45">
      <c r="B12" s="120" t="s">
        <v>20</v>
      </c>
      <c r="C12" s="128">
        <f>22.25*12</f>
        <v>267</v>
      </c>
      <c r="D12" s="128">
        <f>22.25*12</f>
        <v>267</v>
      </c>
      <c r="E12" s="122">
        <f t="shared" si="6"/>
        <v>534</v>
      </c>
      <c r="F12" s="122">
        <f t="shared" si="0"/>
        <v>44.5</v>
      </c>
      <c r="G12" s="123"/>
      <c r="I12" s="144" t="s">
        <v>20</v>
      </c>
      <c r="J12" s="146">
        <v>350</v>
      </c>
      <c r="K12" s="146">
        <v>350</v>
      </c>
      <c r="L12" s="145">
        <f t="shared" si="2"/>
        <v>700</v>
      </c>
      <c r="M12" s="146"/>
    </row>
    <row r="13" spans="2:13" ht="19" customHeight="1" x14ac:dyDescent="0.45">
      <c r="B13" s="124" t="s">
        <v>21</v>
      </c>
      <c r="C13" s="125">
        <f>C9-SUM(C10:C12)</f>
        <v>47793</v>
      </c>
      <c r="D13" s="125">
        <f>D9-SUM(D10:D12)</f>
        <v>47793</v>
      </c>
      <c r="E13" s="126">
        <f>E9-SUM(E10:E12)</f>
        <v>95586</v>
      </c>
      <c r="F13" s="126">
        <f t="shared" si="0"/>
        <v>7965.5</v>
      </c>
      <c r="G13" s="129"/>
      <c r="I13" s="142" t="s">
        <v>21</v>
      </c>
      <c r="J13" s="147">
        <f>J9-SUM(J10:J12)</f>
        <v>733650</v>
      </c>
      <c r="K13" s="147">
        <f>K9-SUM(K10:K12)</f>
        <v>633650</v>
      </c>
      <c r="L13" s="147">
        <f>L9-SUM(L10:L12)</f>
        <v>1367300</v>
      </c>
      <c r="M13" s="149">
        <f>L13/12</f>
        <v>113941.66666666701</v>
      </c>
    </row>
    <row r="14" spans="2:13" ht="19" customHeight="1" x14ac:dyDescent="0.45">
      <c r="B14" s="120" t="s">
        <v>22</v>
      </c>
      <c r="C14" s="128" t="s">
        <v>23</v>
      </c>
      <c r="D14" s="128" t="s">
        <v>23</v>
      </c>
      <c r="E14" s="122">
        <f t="shared" si="6"/>
        <v>0</v>
      </c>
      <c r="F14" s="122">
        <f t="shared" si="0"/>
        <v>0</v>
      </c>
      <c r="G14" s="123"/>
      <c r="I14" s="144" t="s">
        <v>22</v>
      </c>
      <c r="J14" s="145">
        <v>20000</v>
      </c>
      <c r="K14" s="145">
        <v>15000</v>
      </c>
      <c r="L14" s="145">
        <f t="shared" si="2"/>
        <v>35000</v>
      </c>
      <c r="M14" s="146"/>
    </row>
    <row r="15" spans="2:13" ht="19" customHeight="1" x14ac:dyDescent="0.45">
      <c r="B15" s="120" t="s">
        <v>24</v>
      </c>
      <c r="C15" s="121">
        <f>(1000*12)+(8500*0.58*12)+(45000*0.1291*12)</f>
        <v>140874</v>
      </c>
      <c r="D15" s="128" t="s">
        <v>23</v>
      </c>
      <c r="E15" s="122">
        <f t="shared" si="6"/>
        <v>140874</v>
      </c>
      <c r="F15" s="122">
        <f t="shared" si="0"/>
        <v>11739.5</v>
      </c>
      <c r="G15" s="123"/>
      <c r="I15" s="144" t="s">
        <v>24</v>
      </c>
      <c r="J15" s="145">
        <v>88800</v>
      </c>
      <c r="K15" s="145">
        <v>42000</v>
      </c>
      <c r="L15" s="145">
        <f t="shared" si="2"/>
        <v>130800</v>
      </c>
      <c r="M15" s="146"/>
    </row>
    <row r="16" spans="2:13" ht="19" customHeight="1" x14ac:dyDescent="0.45">
      <c r="B16" s="120" t="s">
        <v>25</v>
      </c>
      <c r="C16" s="128" t="s">
        <v>23</v>
      </c>
      <c r="D16" s="128" t="s">
        <v>23</v>
      </c>
      <c r="E16" s="122">
        <f t="shared" si="6"/>
        <v>0</v>
      </c>
      <c r="F16" s="122">
        <f t="shared" si="0"/>
        <v>0</v>
      </c>
      <c r="G16" s="123"/>
      <c r="I16" s="144" t="s">
        <v>25</v>
      </c>
      <c r="J16" s="145">
        <v>4500</v>
      </c>
      <c r="K16" s="146" t="s">
        <v>23</v>
      </c>
      <c r="L16" s="145">
        <f t="shared" si="2"/>
        <v>4500</v>
      </c>
      <c r="M16" s="146"/>
    </row>
    <row r="17" spans="2:13" ht="19" customHeight="1" x14ac:dyDescent="0.45">
      <c r="B17" s="124" t="s">
        <v>26</v>
      </c>
      <c r="C17" s="125">
        <f>SUM(C13:C16)</f>
        <v>188667</v>
      </c>
      <c r="D17" s="125">
        <f>SUM(D13:D16)</f>
        <v>47793</v>
      </c>
      <c r="E17" s="126">
        <f>SUM(E13:E16)</f>
        <v>236460</v>
      </c>
      <c r="F17" s="126">
        <f t="shared" si="0"/>
        <v>19705</v>
      </c>
      <c r="G17" s="129"/>
      <c r="I17" s="142" t="s">
        <v>26</v>
      </c>
      <c r="J17" s="147">
        <f>SUM(J13:J16)</f>
        <v>846950</v>
      </c>
      <c r="K17" s="147">
        <f>SUM(K13:K16)</f>
        <v>690650</v>
      </c>
      <c r="L17" s="147">
        <f>SUM(L13:L16)</f>
        <v>1537600</v>
      </c>
      <c r="M17" s="149">
        <f>L17/12</f>
        <v>128133.33333333299</v>
      </c>
    </row>
    <row r="18" spans="2:13" ht="19" customHeight="1" x14ac:dyDescent="0.45">
      <c r="B18" s="172" t="s">
        <v>27</v>
      </c>
      <c r="C18" s="172"/>
      <c r="D18" s="172"/>
      <c r="E18" s="172"/>
      <c r="F18" s="172"/>
      <c r="G18" s="129"/>
      <c r="I18" s="142"/>
      <c r="J18" s="147"/>
      <c r="K18" s="147"/>
      <c r="L18" s="147"/>
      <c r="M18" s="149"/>
    </row>
    <row r="19" spans="2:13" ht="19" customHeight="1" x14ac:dyDescent="0.45">
      <c r="B19" s="119" t="s">
        <v>28</v>
      </c>
      <c r="C19" s="96" t="s">
        <v>10</v>
      </c>
      <c r="D19" s="96" t="s">
        <v>11</v>
      </c>
      <c r="E19" s="96" t="s">
        <v>12</v>
      </c>
      <c r="F19" s="96" t="s">
        <v>8</v>
      </c>
      <c r="G19" s="123"/>
      <c r="I19" s="150" t="s">
        <v>29</v>
      </c>
      <c r="J19" s="146"/>
      <c r="K19" s="146"/>
      <c r="L19" s="146"/>
      <c r="M19" s="146"/>
    </row>
    <row r="20" spans="2:13" ht="19" customHeight="1" x14ac:dyDescent="0.45">
      <c r="B20" s="120" t="s">
        <v>30</v>
      </c>
      <c r="C20" s="130">
        <f>(Loan!H11)*12</f>
        <v>0</v>
      </c>
      <c r="D20" s="128" t="s">
        <v>23</v>
      </c>
      <c r="E20" s="122">
        <f t="shared" ref="E20:E27" si="7">SUM(C20:D20)</f>
        <v>0</v>
      </c>
      <c r="F20" s="122">
        <f>E20/12</f>
        <v>0</v>
      </c>
      <c r="G20" s="131">
        <f>E20-L20</f>
        <v>-33468</v>
      </c>
      <c r="I20" s="144" t="s">
        <v>31</v>
      </c>
      <c r="J20" s="151">
        <v>33468</v>
      </c>
      <c r="K20" s="146" t="s">
        <v>23</v>
      </c>
      <c r="L20" s="151">
        <f t="shared" ref="L20:L27" si="8">SUM(J20:K20)</f>
        <v>33468</v>
      </c>
      <c r="M20" s="146"/>
    </row>
    <row r="21" spans="2:13" ht="19" customHeight="1" x14ac:dyDescent="0.45">
      <c r="B21" s="120" t="s">
        <v>32</v>
      </c>
      <c r="C21" s="128" t="s">
        <v>23</v>
      </c>
      <c r="D21" s="128" t="s">
        <v>23</v>
      </c>
      <c r="E21" s="122">
        <f t="shared" si="7"/>
        <v>0</v>
      </c>
      <c r="F21" s="122">
        <f t="shared" ref="F21:F27" si="9">E21/12</f>
        <v>0</v>
      </c>
      <c r="G21" s="131">
        <f>E21-L21</f>
        <v>-95928</v>
      </c>
      <c r="I21" s="144" t="s">
        <v>33</v>
      </c>
      <c r="J21" s="151">
        <v>95928</v>
      </c>
      <c r="K21" s="146" t="s">
        <v>23</v>
      </c>
      <c r="L21" s="151">
        <f t="shared" si="8"/>
        <v>95928</v>
      </c>
      <c r="M21" s="146"/>
    </row>
    <row r="22" spans="2:13" ht="19" customHeight="1" x14ac:dyDescent="0.45">
      <c r="B22" s="120" t="s">
        <v>34</v>
      </c>
      <c r="C22" s="130">
        <f>(Loan!P11)*12</f>
        <v>0</v>
      </c>
      <c r="D22" s="128" t="s">
        <v>23</v>
      </c>
      <c r="E22" s="122">
        <f t="shared" si="7"/>
        <v>0</v>
      </c>
      <c r="F22" s="122">
        <f t="shared" si="9"/>
        <v>0</v>
      </c>
      <c r="G22" s="131"/>
      <c r="I22" s="144" t="s">
        <v>34</v>
      </c>
      <c r="J22" s="145">
        <v>51300</v>
      </c>
      <c r="K22" s="146" t="s">
        <v>23</v>
      </c>
      <c r="L22" s="145">
        <f t="shared" si="8"/>
        <v>51300</v>
      </c>
      <c r="M22" s="146"/>
    </row>
    <row r="23" spans="2:13" ht="19" customHeight="1" x14ac:dyDescent="0.45">
      <c r="B23" s="120" t="s">
        <v>35</v>
      </c>
      <c r="C23" s="128" t="s">
        <v>23</v>
      </c>
      <c r="D23" s="128" t="s">
        <v>23</v>
      </c>
      <c r="E23" s="122">
        <f t="shared" si="7"/>
        <v>0</v>
      </c>
      <c r="F23" s="122">
        <f t="shared" si="9"/>
        <v>0</v>
      </c>
      <c r="G23" s="131">
        <f t="shared" ref="G23:G40" si="10">E23-L23</f>
        <v>-160000</v>
      </c>
      <c r="I23" s="144" t="s">
        <v>36</v>
      </c>
      <c r="J23" s="151">
        <f>100000</f>
        <v>100000</v>
      </c>
      <c r="K23" s="151">
        <f>60000</f>
        <v>60000</v>
      </c>
      <c r="L23" s="151">
        <f t="shared" si="8"/>
        <v>160000</v>
      </c>
      <c r="M23" s="146"/>
    </row>
    <row r="24" spans="2:13" ht="19" customHeight="1" x14ac:dyDescent="0.45">
      <c r="B24" s="120" t="s">
        <v>37</v>
      </c>
      <c r="C24" s="121">
        <v>5000</v>
      </c>
      <c r="D24" s="128" t="s">
        <v>23</v>
      </c>
      <c r="E24" s="122">
        <f t="shared" si="7"/>
        <v>5000</v>
      </c>
      <c r="F24" s="122">
        <f t="shared" si="9"/>
        <v>416.66666666666703</v>
      </c>
      <c r="I24" s="144" t="s">
        <v>37</v>
      </c>
      <c r="J24" s="145">
        <v>5000</v>
      </c>
      <c r="K24" s="146" t="s">
        <v>23</v>
      </c>
      <c r="L24" s="145">
        <f t="shared" si="8"/>
        <v>5000</v>
      </c>
      <c r="M24" s="146"/>
    </row>
    <row r="25" spans="2:13" ht="19" customHeight="1" x14ac:dyDescent="0.45">
      <c r="B25" s="120" t="s">
        <v>38</v>
      </c>
      <c r="C25" s="130">
        <f>Coverage!J6</f>
        <v>21269.52</v>
      </c>
      <c r="D25" s="132" t="s">
        <v>23</v>
      </c>
      <c r="E25" s="122">
        <f t="shared" si="7"/>
        <v>21269.52</v>
      </c>
      <c r="F25" s="122">
        <f t="shared" si="9"/>
        <v>1772.46</v>
      </c>
      <c r="G25" s="131"/>
      <c r="I25" s="144" t="s">
        <v>38</v>
      </c>
      <c r="J25" s="145">
        <v>54200</v>
      </c>
      <c r="K25" s="145">
        <v>30588</v>
      </c>
      <c r="L25" s="145">
        <f t="shared" si="8"/>
        <v>84788</v>
      </c>
      <c r="M25" s="146"/>
    </row>
    <row r="26" spans="2:13" ht="19" customHeight="1" x14ac:dyDescent="0.45">
      <c r="B26" s="120" t="s">
        <v>39</v>
      </c>
      <c r="C26" s="130">
        <f>Coverage!J9</f>
        <v>6800</v>
      </c>
      <c r="D26" s="130">
        <f>Coverage!J13</f>
        <v>5900</v>
      </c>
      <c r="E26" s="122">
        <f t="shared" si="7"/>
        <v>12700</v>
      </c>
      <c r="F26" s="122">
        <f t="shared" si="9"/>
        <v>1058.3333333333301</v>
      </c>
      <c r="G26" s="131"/>
      <c r="I26" s="144" t="s">
        <v>39</v>
      </c>
      <c r="J26" s="145">
        <v>6000</v>
      </c>
      <c r="K26" s="145">
        <v>6000</v>
      </c>
      <c r="L26" s="145">
        <f t="shared" si="8"/>
        <v>12000</v>
      </c>
      <c r="M26" s="146"/>
    </row>
    <row r="27" spans="2:13" ht="19" customHeight="1" x14ac:dyDescent="0.45">
      <c r="B27" s="120" t="s">
        <v>40</v>
      </c>
      <c r="C27" s="128" t="s">
        <v>23</v>
      </c>
      <c r="D27" s="128" t="s">
        <v>23</v>
      </c>
      <c r="E27" s="122">
        <f t="shared" si="7"/>
        <v>0</v>
      </c>
      <c r="F27" s="122">
        <f t="shared" si="9"/>
        <v>0</v>
      </c>
      <c r="G27" s="131"/>
      <c r="I27" s="144" t="s">
        <v>40</v>
      </c>
      <c r="J27" s="145">
        <v>148000</v>
      </c>
      <c r="K27" s="146" t="s">
        <v>23</v>
      </c>
      <c r="L27" s="145">
        <f t="shared" si="8"/>
        <v>148000</v>
      </c>
      <c r="M27" s="146"/>
    </row>
    <row r="28" spans="2:13" ht="19" customHeight="1" x14ac:dyDescent="0.45">
      <c r="B28" s="124" t="s">
        <v>41</v>
      </c>
      <c r="C28" s="125">
        <f>SUM(C20:C27)</f>
        <v>33069.519999999997</v>
      </c>
      <c r="D28" s="125">
        <f t="shared" ref="D28" si="11">SUM(D20:D27)</f>
        <v>5900</v>
      </c>
      <c r="E28" s="126">
        <f>SUM(E20:E27)</f>
        <v>38969.519999999997</v>
      </c>
      <c r="F28" s="126">
        <f>E28/12</f>
        <v>3247.46</v>
      </c>
      <c r="G28" s="131">
        <f t="shared" si="10"/>
        <v>-551514.48</v>
      </c>
      <c r="I28" s="142" t="s">
        <v>41</v>
      </c>
      <c r="J28" s="152">
        <f>SUM(J20:J27)</f>
        <v>493896</v>
      </c>
      <c r="K28" s="152">
        <f t="shared" ref="K28" si="12">SUM(K20:K27)</f>
        <v>96588</v>
      </c>
      <c r="L28" s="152">
        <f t="shared" ref="L28" si="13">SUM(L20:L27)</f>
        <v>590484</v>
      </c>
      <c r="M28" s="153">
        <f>L28/12</f>
        <v>49207</v>
      </c>
    </row>
    <row r="29" spans="2:13" ht="19" customHeight="1" x14ac:dyDescent="0.45">
      <c r="B29" s="119" t="s">
        <v>42</v>
      </c>
      <c r="C29" s="96" t="s">
        <v>10</v>
      </c>
      <c r="D29" s="96" t="s">
        <v>11</v>
      </c>
      <c r="E29" s="96" t="s">
        <v>12</v>
      </c>
      <c r="F29" s="96" t="s">
        <v>8</v>
      </c>
      <c r="G29" s="123"/>
      <c r="I29" s="150" t="s">
        <v>43</v>
      </c>
      <c r="J29" s="146"/>
      <c r="K29" s="146"/>
      <c r="L29" s="146"/>
      <c r="M29" s="146"/>
    </row>
    <row r="30" spans="2:13" ht="19" customHeight="1" x14ac:dyDescent="0.45">
      <c r="B30" s="120" t="s">
        <v>44</v>
      </c>
      <c r="C30" s="121">
        <f>150*30*12</f>
        <v>54000</v>
      </c>
      <c r="D30" s="128" t="s">
        <v>23</v>
      </c>
      <c r="E30" s="122">
        <f t="shared" ref="E30:E37" si="14">SUM(C30:D30)</f>
        <v>54000</v>
      </c>
      <c r="F30" s="122">
        <f>E30/12</f>
        <v>4500</v>
      </c>
      <c r="G30" s="131">
        <f t="shared" si="10"/>
        <v>14000</v>
      </c>
      <c r="I30" s="144" t="s">
        <v>44</v>
      </c>
      <c r="J30" s="145">
        <v>40000</v>
      </c>
      <c r="K30" s="146" t="s">
        <v>23</v>
      </c>
      <c r="L30" s="145">
        <f t="shared" ref="L30:L37" si="15">SUM(J30:K30)</f>
        <v>40000</v>
      </c>
      <c r="M30" s="146"/>
    </row>
    <row r="31" spans="2:13" ht="19" customHeight="1" x14ac:dyDescent="0.45">
      <c r="B31" s="120" t="s">
        <v>45</v>
      </c>
      <c r="C31" s="121">
        <v>1000</v>
      </c>
      <c r="D31" s="128">
        <v>1000</v>
      </c>
      <c r="E31" s="122">
        <f t="shared" si="14"/>
        <v>2000</v>
      </c>
      <c r="F31" s="122">
        <f t="shared" ref="F31:F37" si="16">E31/12</f>
        <v>166.666666666667</v>
      </c>
      <c r="G31" s="131">
        <f t="shared" si="10"/>
        <v>-3000</v>
      </c>
      <c r="I31" s="144" t="s">
        <v>45</v>
      </c>
      <c r="J31" s="145">
        <v>5000</v>
      </c>
      <c r="K31" s="146" t="s">
        <v>23</v>
      </c>
      <c r="L31" s="145">
        <f t="shared" si="15"/>
        <v>5000</v>
      </c>
      <c r="M31" s="146"/>
    </row>
    <row r="32" spans="2:13" ht="19" customHeight="1" x14ac:dyDescent="0.45">
      <c r="B32" s="120" t="s">
        <v>46</v>
      </c>
      <c r="C32" s="121">
        <f>300*12</f>
        <v>3600</v>
      </c>
      <c r="D32" s="128">
        <f>100*12</f>
        <v>1200</v>
      </c>
      <c r="E32" s="122">
        <f t="shared" si="14"/>
        <v>4800</v>
      </c>
      <c r="F32" s="122">
        <f t="shared" si="16"/>
        <v>400</v>
      </c>
      <c r="G32" s="131">
        <f t="shared" si="10"/>
        <v>2300</v>
      </c>
      <c r="I32" s="144" t="s">
        <v>46</v>
      </c>
      <c r="J32" s="145">
        <v>2500</v>
      </c>
      <c r="K32" s="146" t="s">
        <v>23</v>
      </c>
      <c r="L32" s="145">
        <f t="shared" si="15"/>
        <v>2500</v>
      </c>
      <c r="M32" s="146"/>
    </row>
    <row r="33" spans="2:13" ht="19" customHeight="1" x14ac:dyDescent="0.45">
      <c r="B33" s="120" t="s">
        <v>47</v>
      </c>
      <c r="C33" s="121">
        <v>2000</v>
      </c>
      <c r="D33" s="121">
        <v>2000</v>
      </c>
      <c r="E33" s="122">
        <f t="shared" si="14"/>
        <v>4000</v>
      </c>
      <c r="F33" s="122">
        <f t="shared" si="16"/>
        <v>333.33333333333297</v>
      </c>
      <c r="G33" s="131">
        <f t="shared" si="10"/>
        <v>-24000</v>
      </c>
      <c r="I33" s="144" t="s">
        <v>47</v>
      </c>
      <c r="J33" s="145">
        <v>18000</v>
      </c>
      <c r="K33" s="145">
        <v>10000</v>
      </c>
      <c r="L33" s="145">
        <f t="shared" si="15"/>
        <v>28000</v>
      </c>
      <c r="M33" s="146"/>
    </row>
    <row r="34" spans="2:13" ht="19" customHeight="1" x14ac:dyDescent="0.45">
      <c r="B34" s="120" t="s">
        <v>48</v>
      </c>
      <c r="C34" s="128" t="s">
        <v>23</v>
      </c>
      <c r="D34" s="128" t="s">
        <v>23</v>
      </c>
      <c r="E34" s="122">
        <f t="shared" si="14"/>
        <v>0</v>
      </c>
      <c r="F34" s="122">
        <f t="shared" si="16"/>
        <v>0</v>
      </c>
      <c r="G34" s="131">
        <f t="shared" si="10"/>
        <v>-30000</v>
      </c>
      <c r="I34" s="144" t="s">
        <v>48</v>
      </c>
      <c r="J34" s="145">
        <v>30000</v>
      </c>
      <c r="K34" s="146" t="s">
        <v>23</v>
      </c>
      <c r="L34" s="145">
        <f t="shared" si="15"/>
        <v>30000</v>
      </c>
      <c r="M34" s="146"/>
    </row>
    <row r="35" spans="2:13" ht="19" customHeight="1" x14ac:dyDescent="0.45">
      <c r="B35" s="133" t="s">
        <v>49</v>
      </c>
      <c r="C35" s="134">
        <f>3500*12</f>
        <v>42000</v>
      </c>
      <c r="D35" s="135" t="s">
        <v>23</v>
      </c>
      <c r="E35" s="122">
        <f t="shared" si="14"/>
        <v>42000</v>
      </c>
      <c r="F35" s="122">
        <f t="shared" si="16"/>
        <v>3500</v>
      </c>
      <c r="G35" s="131">
        <f t="shared" si="10"/>
        <v>32000</v>
      </c>
      <c r="I35" s="154" t="s">
        <v>49</v>
      </c>
      <c r="J35" s="155">
        <v>10000</v>
      </c>
      <c r="K35" s="146" t="s">
        <v>23</v>
      </c>
      <c r="L35" s="145">
        <f t="shared" si="15"/>
        <v>10000</v>
      </c>
      <c r="M35" s="146"/>
    </row>
    <row r="36" spans="2:13" ht="19" customHeight="1" x14ac:dyDescent="0.45">
      <c r="B36" s="120" t="s">
        <v>50</v>
      </c>
      <c r="C36" s="121">
        <v>50000</v>
      </c>
      <c r="D36" s="128" t="s">
        <v>23</v>
      </c>
      <c r="E36" s="122">
        <f t="shared" si="14"/>
        <v>50000</v>
      </c>
      <c r="F36" s="122">
        <f t="shared" si="16"/>
        <v>4166.6666666666697</v>
      </c>
      <c r="G36" s="131">
        <f t="shared" si="10"/>
        <v>0</v>
      </c>
      <c r="I36" s="144" t="s">
        <v>50</v>
      </c>
      <c r="J36" s="145">
        <v>50000</v>
      </c>
      <c r="K36" s="146" t="s">
        <v>23</v>
      </c>
      <c r="L36" s="145">
        <f t="shared" si="15"/>
        <v>50000</v>
      </c>
      <c r="M36" s="146"/>
    </row>
    <row r="37" spans="2:13" ht="19" customHeight="1" x14ac:dyDescent="0.45">
      <c r="B37" s="120" t="s">
        <v>51</v>
      </c>
      <c r="C37" s="121">
        <v>305</v>
      </c>
      <c r="D37" s="121">
        <v>305</v>
      </c>
      <c r="E37" s="122">
        <f t="shared" si="14"/>
        <v>610</v>
      </c>
      <c r="F37" s="122">
        <f t="shared" si="16"/>
        <v>50.8333333333333</v>
      </c>
      <c r="G37" s="131">
        <f t="shared" si="10"/>
        <v>-245696</v>
      </c>
      <c r="I37" s="144" t="s">
        <v>52</v>
      </c>
      <c r="J37" s="151">
        <v>134697</v>
      </c>
      <c r="K37" s="151">
        <v>111609</v>
      </c>
      <c r="L37" s="151">
        <f t="shared" si="15"/>
        <v>246306</v>
      </c>
      <c r="M37" s="146"/>
    </row>
    <row r="38" spans="2:13" ht="19" customHeight="1" x14ac:dyDescent="0.45">
      <c r="B38" s="124" t="s">
        <v>53</v>
      </c>
      <c r="C38" s="125">
        <f>SUM(C30:C37)</f>
        <v>152905</v>
      </c>
      <c r="D38" s="125">
        <f>SUM(D30:D37)</f>
        <v>4505</v>
      </c>
      <c r="E38" s="126">
        <f>SUM(E30:E37)</f>
        <v>157410</v>
      </c>
      <c r="F38" s="126">
        <f>E38/12</f>
        <v>13117.5</v>
      </c>
      <c r="G38" s="131">
        <f t="shared" si="10"/>
        <v>-254396</v>
      </c>
      <c r="I38" s="142" t="s">
        <v>53</v>
      </c>
      <c r="J38" s="152">
        <f>SUM(J30:J37)</f>
        <v>290197</v>
      </c>
      <c r="K38" s="152">
        <f>SUM(K30:K37)</f>
        <v>121609</v>
      </c>
      <c r="L38" s="152">
        <f>SUM(L30:L37)</f>
        <v>411806</v>
      </c>
      <c r="M38" s="153">
        <f>L38/12</f>
        <v>34317.166666666701</v>
      </c>
    </row>
    <row r="39" spans="2:13" ht="19" customHeight="1" x14ac:dyDescent="0.45">
      <c r="B39" s="136" t="s">
        <v>54</v>
      </c>
      <c r="C39" s="137">
        <f>SUM(C38,C28)</f>
        <v>185974.52</v>
      </c>
      <c r="D39" s="137">
        <f>SUM(D38,D28)</f>
        <v>10405</v>
      </c>
      <c r="E39" s="138">
        <f>SUM(E38,E28)</f>
        <v>196379.51999999999</v>
      </c>
      <c r="F39" s="138">
        <f>E39/12</f>
        <v>16364.96</v>
      </c>
      <c r="G39" s="131">
        <f t="shared" si="10"/>
        <v>-805910.48</v>
      </c>
      <c r="I39" s="156" t="s">
        <v>55</v>
      </c>
      <c r="J39" s="157">
        <f>SUM(J38,J28)</f>
        <v>784093</v>
      </c>
      <c r="K39" s="157">
        <f>SUM(K38,K28)</f>
        <v>218197</v>
      </c>
      <c r="L39" s="157">
        <f>SUM(L38,L28)</f>
        <v>1002290</v>
      </c>
      <c r="M39" s="158">
        <f>L39/12</f>
        <v>83524.166666666701</v>
      </c>
    </row>
    <row r="40" spans="2:13" ht="20" customHeight="1" x14ac:dyDescent="0.45">
      <c r="B40" s="139" t="s">
        <v>56</v>
      </c>
      <c r="C40" s="140">
        <f>C17-C39</f>
        <v>2692.47999999998</v>
      </c>
      <c r="D40" s="140">
        <f>D17-D39</f>
        <v>37388</v>
      </c>
      <c r="E40" s="141">
        <f>E17-E39</f>
        <v>40080.480000000003</v>
      </c>
      <c r="F40" s="141">
        <f>E40/12</f>
        <v>3340.04</v>
      </c>
      <c r="G40" s="131">
        <f t="shared" si="10"/>
        <v>-495229.52</v>
      </c>
      <c r="I40" s="156" t="s">
        <v>57</v>
      </c>
      <c r="J40" s="157">
        <f>J17-J39</f>
        <v>62857</v>
      </c>
      <c r="K40" s="157">
        <f>K17-K39</f>
        <v>472453</v>
      </c>
      <c r="L40" s="157">
        <f>L17-L39</f>
        <v>535310</v>
      </c>
      <c r="M40" s="159">
        <f>L40/12</f>
        <v>44609.166666666701</v>
      </c>
    </row>
    <row r="41" spans="2:13" ht="19" customHeight="1" x14ac:dyDescent="0.45"/>
    <row r="42" spans="2:13" x14ac:dyDescent="0.45">
      <c r="C42">
        <v>50000</v>
      </c>
      <c r="D42">
        <v>470000</v>
      </c>
      <c r="F42" t="s">
        <v>58</v>
      </c>
      <c r="G42" s="48">
        <f>SUM(G20:G21,G37)</f>
        <v>-375092</v>
      </c>
      <c r="J42" s="48">
        <f>J40-C40</f>
        <v>60164.52</v>
      </c>
      <c r="K42" s="48">
        <f>K40-D40</f>
        <v>435065</v>
      </c>
      <c r="L42" s="48">
        <f>L40-E40</f>
        <v>495229.52</v>
      </c>
    </row>
    <row r="43" spans="2:13" x14ac:dyDescent="0.45">
      <c r="L43">
        <f>L40/M39</f>
        <v>6.4090432908639201</v>
      </c>
    </row>
  </sheetData>
  <mergeCells count="6">
    <mergeCell ref="B18:F18"/>
    <mergeCell ref="B2:F2"/>
    <mergeCell ref="I2:M2"/>
    <mergeCell ref="B3:F3"/>
    <mergeCell ref="I3:M3"/>
    <mergeCell ref="B4:F4"/>
  </mergeCells>
  <phoneticPr fontId="2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M57"/>
  <sheetViews>
    <sheetView zoomScale="90" zoomScaleNormal="90" workbookViewId="0">
      <selection activeCell="D25" sqref="D25"/>
    </sheetView>
  </sheetViews>
  <sheetFormatPr defaultColWidth="9" defaultRowHeight="14" x14ac:dyDescent="0.45"/>
  <cols>
    <col min="2" max="2" width="32.8203125" customWidth="1"/>
    <col min="3" max="5" width="20.9375" customWidth="1"/>
    <col min="7" max="7" width="36.05859375" customWidth="1"/>
    <col min="8" max="8" width="11.234375" customWidth="1"/>
    <col min="9" max="9" width="10.5859375" customWidth="1"/>
    <col min="10" max="10" width="11.234375" customWidth="1"/>
    <col min="11" max="11" width="9.64453125" customWidth="1"/>
    <col min="12" max="13" width="11.29296875" customWidth="1"/>
  </cols>
  <sheetData>
    <row r="2" spans="2:13" ht="16.45" customHeight="1" x14ac:dyDescent="0.45">
      <c r="B2" s="173" t="s">
        <v>59</v>
      </c>
      <c r="C2" s="174"/>
      <c r="D2" s="174"/>
      <c r="E2" s="175"/>
      <c r="G2" s="179" t="s">
        <v>60</v>
      </c>
      <c r="H2" s="179" t="s">
        <v>61</v>
      </c>
      <c r="I2" s="179" t="s">
        <v>5</v>
      </c>
      <c r="J2" s="179" t="s">
        <v>6</v>
      </c>
      <c r="K2" s="179" t="s">
        <v>7</v>
      </c>
      <c r="L2" s="179" t="s">
        <v>62</v>
      </c>
      <c r="M2" s="179" t="s">
        <v>63</v>
      </c>
    </row>
    <row r="3" spans="2:13" ht="16.45" customHeight="1" x14ac:dyDescent="0.45">
      <c r="B3" s="176" t="s">
        <v>64</v>
      </c>
      <c r="C3" s="177"/>
      <c r="D3" s="177"/>
      <c r="E3" s="178"/>
      <c r="G3" s="180"/>
      <c r="H3" s="180"/>
      <c r="I3" s="180"/>
      <c r="J3" s="180"/>
      <c r="K3" s="180"/>
      <c r="L3" s="180"/>
      <c r="M3" s="180"/>
    </row>
    <row r="4" spans="2:13" ht="17" customHeight="1" x14ac:dyDescent="0.45">
      <c r="B4" s="95" t="s">
        <v>65</v>
      </c>
      <c r="C4" s="96" t="s">
        <v>10</v>
      </c>
      <c r="D4" s="96" t="s">
        <v>11</v>
      </c>
      <c r="E4" s="96" t="s">
        <v>12</v>
      </c>
      <c r="G4" s="80"/>
      <c r="H4" s="25" t="s">
        <v>66</v>
      </c>
      <c r="I4" s="25" t="s">
        <v>67</v>
      </c>
      <c r="J4" s="25" t="s">
        <v>67</v>
      </c>
      <c r="K4" s="25" t="s">
        <v>67</v>
      </c>
      <c r="L4" s="25" t="s">
        <v>67</v>
      </c>
      <c r="M4" s="25" t="s">
        <v>67</v>
      </c>
    </row>
    <row r="5" spans="2:13" ht="17" customHeight="1" x14ac:dyDescent="0.45">
      <c r="B5" s="95" t="s">
        <v>68</v>
      </c>
      <c r="C5" s="97" t="s">
        <v>67</v>
      </c>
      <c r="D5" s="97" t="s">
        <v>67</v>
      </c>
      <c r="E5" s="97" t="s">
        <v>67</v>
      </c>
      <c r="G5" s="22" t="s">
        <v>69</v>
      </c>
      <c r="H5" s="9"/>
      <c r="I5" s="10"/>
      <c r="J5" s="10"/>
      <c r="K5" s="10"/>
      <c r="L5" s="10"/>
      <c r="M5" s="10"/>
    </row>
    <row r="6" spans="2:13" ht="17" customHeight="1" x14ac:dyDescent="0.45">
      <c r="B6" s="5" t="s">
        <v>70</v>
      </c>
      <c r="C6" s="79">
        <f>2969+5735+153612+30616+5557+884+(12689+3992+22284)+((39189+3800+3000)*3.3)+((110000+3398+29330)*0.6)+(9949141*0.14)</f>
        <v>1868618.24</v>
      </c>
      <c r="D6" s="79">
        <f>(1286308*0.13)+((62238+283542)*0.6)</f>
        <v>374688.04</v>
      </c>
      <c r="E6" s="7">
        <f>SUM(C6:D6)</f>
        <v>2243306.2799999998</v>
      </c>
      <c r="G6" s="5" t="s">
        <v>71</v>
      </c>
      <c r="H6" s="9"/>
      <c r="I6" s="109">
        <v>305</v>
      </c>
      <c r="J6" s="109">
        <v>305</v>
      </c>
      <c r="K6" s="109">
        <f>SUM(I6:J6)</f>
        <v>610</v>
      </c>
      <c r="L6" s="110"/>
      <c r="M6" s="110"/>
    </row>
    <row r="7" spans="2:13" ht="17" customHeight="1" x14ac:dyDescent="0.45">
      <c r="B7" s="5" t="s">
        <v>72</v>
      </c>
      <c r="C7" s="89" t="s">
        <v>15</v>
      </c>
      <c r="D7" s="89" t="s">
        <v>15</v>
      </c>
      <c r="E7" s="7">
        <f t="shared" ref="E7:E10" si="0">SUM(C7:D7)</f>
        <v>0</v>
      </c>
      <c r="G7" s="2" t="s">
        <v>73</v>
      </c>
      <c r="H7" s="34"/>
      <c r="I7" s="20">
        <f>SUM(I6)</f>
        <v>305</v>
      </c>
      <c r="J7" s="20">
        <f t="shared" ref="J7:K7" si="1">SUM(J6)</f>
        <v>305</v>
      </c>
      <c r="K7" s="20">
        <f t="shared" si="1"/>
        <v>610</v>
      </c>
      <c r="L7" s="111"/>
      <c r="M7" s="112">
        <f>K7</f>
        <v>610</v>
      </c>
    </row>
    <row r="8" spans="2:13" ht="17" customHeight="1" x14ac:dyDescent="0.45">
      <c r="B8" s="5" t="s">
        <v>74</v>
      </c>
      <c r="C8" s="79" t="s">
        <v>15</v>
      </c>
      <c r="D8" s="79" t="s">
        <v>15</v>
      </c>
      <c r="E8" s="7">
        <f t="shared" si="0"/>
        <v>0</v>
      </c>
      <c r="G8" s="5"/>
      <c r="H8" s="9"/>
      <c r="I8" s="10"/>
      <c r="J8" s="10"/>
      <c r="K8" s="10"/>
      <c r="L8" s="10"/>
      <c r="M8" s="10"/>
    </row>
    <row r="9" spans="2:13" ht="17" customHeight="1" x14ac:dyDescent="0.45">
      <c r="B9" s="5" t="s">
        <v>75</v>
      </c>
      <c r="C9" s="79">
        <f>(1000000*0.6)+(36000+200000)+20000</f>
        <v>856000</v>
      </c>
      <c r="D9" s="79" t="s">
        <v>15</v>
      </c>
      <c r="E9" s="7">
        <f t="shared" si="0"/>
        <v>856000</v>
      </c>
      <c r="G9" s="22" t="s">
        <v>76</v>
      </c>
      <c r="H9" s="9"/>
      <c r="I9" s="10"/>
      <c r="J9" s="10"/>
      <c r="K9" s="10"/>
      <c r="L9" s="10"/>
      <c r="M9" s="10"/>
    </row>
    <row r="10" spans="2:13" ht="17" customHeight="1" x14ac:dyDescent="0.45">
      <c r="B10" s="5" t="s">
        <v>77</v>
      </c>
      <c r="C10" s="79" t="s">
        <v>15</v>
      </c>
      <c r="D10" s="89"/>
      <c r="E10" s="7">
        <f t="shared" si="0"/>
        <v>0</v>
      </c>
      <c r="G10" s="5" t="s">
        <v>78</v>
      </c>
      <c r="H10" s="11" t="s">
        <v>15</v>
      </c>
      <c r="I10" s="7" t="s">
        <v>15</v>
      </c>
      <c r="J10" s="7" t="s">
        <v>15</v>
      </c>
      <c r="K10" s="109" t="s">
        <v>15</v>
      </c>
      <c r="L10" s="7"/>
      <c r="M10" s="7"/>
    </row>
    <row r="11" spans="2:13" ht="16.7" customHeight="1" x14ac:dyDescent="0.45">
      <c r="B11" s="95" t="s">
        <v>79</v>
      </c>
      <c r="C11" s="98">
        <f>SUM(C6:C10)</f>
        <v>2724618.2400000002</v>
      </c>
      <c r="D11" s="98">
        <f>SUM(D6:D10)</f>
        <v>374688.04</v>
      </c>
      <c r="E11" s="98">
        <f>SUM(E6:E10)</f>
        <v>3099306.28</v>
      </c>
      <c r="G11" s="5" t="s">
        <v>80</v>
      </c>
      <c r="H11" s="11" t="s">
        <v>15</v>
      </c>
      <c r="I11" s="7" t="s">
        <v>15</v>
      </c>
      <c r="J11" s="7" t="s">
        <v>15</v>
      </c>
      <c r="K11" s="109" t="s">
        <v>15</v>
      </c>
      <c r="L11" s="7"/>
      <c r="M11" s="7"/>
    </row>
    <row r="12" spans="2:13" ht="16.7" customHeight="1" x14ac:dyDescent="0.45">
      <c r="B12" s="22" t="s">
        <v>81</v>
      </c>
      <c r="C12" s="10"/>
      <c r="D12" s="10"/>
      <c r="E12" s="10"/>
      <c r="H12" s="99"/>
      <c r="I12" s="113"/>
      <c r="J12" s="113"/>
      <c r="K12" s="109"/>
      <c r="L12" s="113"/>
      <c r="M12" s="113"/>
    </row>
    <row r="13" spans="2:13" ht="16.7" customHeight="1" x14ac:dyDescent="0.45">
      <c r="B13" s="5" t="s">
        <v>82</v>
      </c>
      <c r="C13" s="79">
        <f>(((880*118.4)+(15480*5.78)+(1200*143.8))*0.54)+((301*22.11*4.24))+(107000)</f>
        <v>332979.92239999998</v>
      </c>
      <c r="D13" s="79">
        <f>(2000*1.43)+(1000*5.42)+(1000*0.09)+(2000*0.87)+(2000*6.9)+(166*0.1)+(5000*1.3)+(5000*1.9)+(10300*0.47)+(5000*1.15)+(1000*9.7)+(10*0.615)+(12*0.165)+(2000*0.055)+(33*0.09)+(4612*1.78)+(6000*1.49)+(7291*0.245)+(5277*0.005)+(15159*0.305)+(7000*0.04)+(7000*0.295)+(4000*0.045)+(375*0.54)+(3000*1.72)+(100*0.205)+(4000*0.26)+(9000*0.97)+(1200*0.07)+(200*0.065)+(300*0.105)+(800*0.1)</f>
        <v>101810.735</v>
      </c>
      <c r="E13" s="7">
        <f>SUM(C13:D13)</f>
        <v>434790.65740000003</v>
      </c>
      <c r="G13" s="2" t="s">
        <v>83</v>
      </c>
      <c r="H13" s="34"/>
      <c r="I13" s="20">
        <f>SUM(I10:I12)</f>
        <v>0</v>
      </c>
      <c r="J13" s="20">
        <f>SUM(J10:J12)</f>
        <v>0</v>
      </c>
      <c r="K13" s="20">
        <f>SUM(K10:K12)</f>
        <v>0</v>
      </c>
      <c r="L13" s="49"/>
      <c r="M13" s="112">
        <f>SUM(M10:M12)</f>
        <v>0</v>
      </c>
    </row>
    <row r="14" spans="2:13" ht="16.7" customHeight="1" x14ac:dyDescent="0.45">
      <c r="B14" s="5" t="s">
        <v>84</v>
      </c>
      <c r="C14" s="79">
        <f>2267301*0.14</f>
        <v>317422.14</v>
      </c>
      <c r="D14" s="79" t="s">
        <v>15</v>
      </c>
      <c r="E14" s="7">
        <f t="shared" ref="E14:E20" si="2">SUM(C14:D14)</f>
        <v>317422.14</v>
      </c>
      <c r="G14" s="5"/>
      <c r="H14" s="9"/>
      <c r="I14" s="10"/>
      <c r="J14" s="10"/>
      <c r="K14" s="10"/>
      <c r="L14" s="10"/>
      <c r="M14" s="10"/>
    </row>
    <row r="15" spans="2:13" ht="16.7" customHeight="1" x14ac:dyDescent="0.45">
      <c r="B15" s="5" t="s">
        <v>85</v>
      </c>
      <c r="C15" s="79">
        <f>129765.68+819381.38+94581+(57951+46995+50855+47711)+(197675+159503)</f>
        <v>1604418.06</v>
      </c>
      <c r="D15" s="79" t="s">
        <v>15</v>
      </c>
      <c r="E15" s="7">
        <f t="shared" si="2"/>
        <v>1604418.06</v>
      </c>
      <c r="G15" s="23" t="s">
        <v>86</v>
      </c>
      <c r="H15" s="100"/>
      <c r="I15" s="24">
        <f>SUM(I7,I13)</f>
        <v>305</v>
      </c>
      <c r="J15" s="24">
        <f t="shared" ref="J15:K15" si="3">SUM(J7,J13)</f>
        <v>305</v>
      </c>
      <c r="K15" s="24">
        <f t="shared" si="3"/>
        <v>610</v>
      </c>
      <c r="L15" s="82"/>
      <c r="M15" s="94">
        <f>SUM(M13,M7)</f>
        <v>610</v>
      </c>
    </row>
    <row r="16" spans="2:13" ht="16.7" customHeight="1" x14ac:dyDescent="0.45">
      <c r="B16" s="5" t="s">
        <v>87</v>
      </c>
      <c r="C16" s="79">
        <f>155445+150675+35801+34922+((471112+33461)*0.6)</f>
        <v>679586.8</v>
      </c>
      <c r="D16" s="79">
        <f>(119562*0.6)</f>
        <v>71737.2</v>
      </c>
      <c r="E16" s="7">
        <f t="shared" si="2"/>
        <v>751324</v>
      </c>
      <c r="G16" s="101" t="s">
        <v>88</v>
      </c>
      <c r="H16" s="102"/>
      <c r="I16" s="102"/>
      <c r="J16" s="102"/>
      <c r="K16" s="102"/>
      <c r="L16" s="114"/>
      <c r="M16" s="94">
        <f>E29-M15</f>
        <v>17263139.837400001</v>
      </c>
    </row>
    <row r="17" spans="2:10" ht="16.7" customHeight="1" x14ac:dyDescent="0.45">
      <c r="B17" s="5" t="s">
        <v>89</v>
      </c>
      <c r="C17" s="79">
        <f>472367.7+40958</f>
        <v>513325.7</v>
      </c>
      <c r="D17" s="79">
        <v>188639</v>
      </c>
      <c r="E17" s="7">
        <f t="shared" si="2"/>
        <v>701964.7</v>
      </c>
    </row>
    <row r="18" spans="2:10" ht="16.7" customHeight="1" x14ac:dyDescent="0.45">
      <c r="B18" s="5" t="s">
        <v>90</v>
      </c>
      <c r="C18" s="79">
        <f>79987</f>
        <v>79987</v>
      </c>
      <c r="D18" s="79">
        <f>57337</f>
        <v>57337</v>
      </c>
      <c r="E18" s="7">
        <f t="shared" si="2"/>
        <v>137324</v>
      </c>
    </row>
    <row r="19" spans="2:10" ht="16.45" customHeight="1" x14ac:dyDescent="0.45">
      <c r="B19" s="5" t="s">
        <v>91</v>
      </c>
      <c r="C19" s="79" t="s">
        <v>15</v>
      </c>
      <c r="D19" s="79" t="s">
        <v>15</v>
      </c>
      <c r="E19" s="7">
        <f t="shared" si="2"/>
        <v>0</v>
      </c>
    </row>
    <row r="20" spans="2:10" ht="16.45" customHeight="1" x14ac:dyDescent="0.45">
      <c r="B20" s="5" t="s">
        <v>92</v>
      </c>
      <c r="C20" s="79" t="s">
        <v>15</v>
      </c>
      <c r="D20" s="89" t="s">
        <v>15</v>
      </c>
      <c r="E20" s="7">
        <f t="shared" si="2"/>
        <v>0</v>
      </c>
      <c r="G20" s="1" t="s">
        <v>93</v>
      </c>
      <c r="H20" s="1" t="s">
        <v>94</v>
      </c>
      <c r="I20" s="1" t="s">
        <v>95</v>
      </c>
      <c r="J20" s="1" t="s">
        <v>96</v>
      </c>
    </row>
    <row r="21" spans="2:10" ht="16.45" customHeight="1" x14ac:dyDescent="0.45">
      <c r="B21" s="95" t="s">
        <v>97</v>
      </c>
      <c r="C21" s="98">
        <f>SUM(C13:C20)</f>
        <v>3527719.6224000002</v>
      </c>
      <c r="D21" s="98">
        <f>SUM(D13:D20)</f>
        <v>419523.935</v>
      </c>
      <c r="E21" s="98">
        <f>SUM(E13:E20)</f>
        <v>3947243.5573999998</v>
      </c>
      <c r="G21" s="1"/>
      <c r="H21" s="1"/>
      <c r="I21" s="1"/>
      <c r="J21" s="1">
        <f>H21*I21</f>
        <v>0</v>
      </c>
    </row>
    <row r="22" spans="2:10" ht="16.45" customHeight="1" x14ac:dyDescent="0.45">
      <c r="B22" s="22" t="s">
        <v>98</v>
      </c>
      <c r="C22" s="10"/>
      <c r="D22" s="10"/>
      <c r="E22" s="10"/>
      <c r="G22" s="1"/>
      <c r="H22" s="1"/>
      <c r="I22" s="1"/>
      <c r="J22" s="1">
        <f t="shared" ref="J22:J29" si="4">H22*I22</f>
        <v>0</v>
      </c>
    </row>
    <row r="23" spans="2:10" ht="16.45" customHeight="1" x14ac:dyDescent="0.45">
      <c r="B23" s="5" t="s">
        <v>99</v>
      </c>
      <c r="C23" s="103">
        <f>I57</f>
        <v>8150000</v>
      </c>
      <c r="D23" s="103">
        <f>J57</f>
        <v>1897200</v>
      </c>
      <c r="E23" s="7">
        <f>SUM(C23:D23)</f>
        <v>10047200</v>
      </c>
      <c r="G23" s="1"/>
      <c r="H23" s="1"/>
      <c r="I23" s="1"/>
      <c r="J23" s="1">
        <f t="shared" si="4"/>
        <v>0</v>
      </c>
    </row>
    <row r="24" spans="2:10" ht="16.45" customHeight="1" x14ac:dyDescent="0.45">
      <c r="B24" s="5" t="s">
        <v>100</v>
      </c>
      <c r="C24" s="79" t="s">
        <v>15</v>
      </c>
      <c r="D24" s="89" t="s">
        <v>15</v>
      </c>
      <c r="E24" s="7">
        <f t="shared" ref="E24:E27" si="5">SUM(C24:D24)</f>
        <v>0</v>
      </c>
      <c r="G24" s="1"/>
      <c r="H24" s="1"/>
      <c r="I24" s="1"/>
      <c r="J24" s="1">
        <f t="shared" si="4"/>
        <v>0</v>
      </c>
    </row>
    <row r="25" spans="2:10" ht="16.45" customHeight="1" x14ac:dyDescent="0.45">
      <c r="B25" s="5" t="s">
        <v>101</v>
      </c>
      <c r="C25" s="103">
        <f>I49</f>
        <v>150000</v>
      </c>
      <c r="D25" s="103">
        <f>J49</f>
        <v>20000</v>
      </c>
      <c r="E25" s="7">
        <f t="shared" si="5"/>
        <v>170000</v>
      </c>
      <c r="G25" s="1"/>
      <c r="H25" s="1"/>
      <c r="I25" s="1"/>
      <c r="J25" s="1">
        <f t="shared" si="4"/>
        <v>0</v>
      </c>
    </row>
    <row r="26" spans="2:10" ht="16.45" customHeight="1" x14ac:dyDescent="0.45">
      <c r="B26" s="5" t="s">
        <v>102</v>
      </c>
      <c r="C26" s="89" t="s">
        <v>15</v>
      </c>
      <c r="D26" s="79" t="s">
        <v>15</v>
      </c>
      <c r="E26" s="7">
        <f t="shared" si="5"/>
        <v>0</v>
      </c>
      <c r="G26" s="1"/>
      <c r="H26" s="1"/>
      <c r="I26" s="1"/>
      <c r="J26" s="1">
        <f t="shared" si="4"/>
        <v>0</v>
      </c>
    </row>
    <row r="27" spans="2:10" ht="16.45" customHeight="1" x14ac:dyDescent="0.45">
      <c r="B27" s="5" t="s">
        <v>103</v>
      </c>
      <c r="C27" s="89" t="s">
        <v>15</v>
      </c>
      <c r="D27" s="89" t="s">
        <v>23</v>
      </c>
      <c r="E27" s="7">
        <f t="shared" si="5"/>
        <v>0</v>
      </c>
      <c r="G27" s="1"/>
      <c r="H27" s="1"/>
      <c r="I27" s="1"/>
      <c r="J27" s="1">
        <f t="shared" si="4"/>
        <v>0</v>
      </c>
    </row>
    <row r="28" spans="2:10" ht="16.45" customHeight="1" x14ac:dyDescent="0.45">
      <c r="B28" s="95" t="s">
        <v>104</v>
      </c>
      <c r="C28" s="98">
        <f>SUM(C23:C27)</f>
        <v>8300000</v>
      </c>
      <c r="D28" s="98">
        <f>SUM(D23:D27)</f>
        <v>1917200</v>
      </c>
      <c r="E28" s="98">
        <f>SUM(E23:E27)</f>
        <v>10217200</v>
      </c>
      <c r="G28" s="1"/>
      <c r="H28" s="1"/>
      <c r="I28" s="1"/>
      <c r="J28" s="1">
        <f t="shared" si="4"/>
        <v>0</v>
      </c>
    </row>
    <row r="29" spans="2:10" ht="16.45" customHeight="1" x14ac:dyDescent="0.45">
      <c r="B29" s="104" t="s">
        <v>105</v>
      </c>
      <c r="C29" s="105">
        <f>SUM(C11,C21,C28)</f>
        <v>14552337.862400001</v>
      </c>
      <c r="D29" s="105">
        <f>SUM(D11,D21,D28)</f>
        <v>2711411.9750000001</v>
      </c>
      <c r="E29" s="105">
        <f>SUM(E11,E21,E28)</f>
        <v>17263749.837400001</v>
      </c>
      <c r="G29" s="1"/>
      <c r="H29" s="1"/>
      <c r="I29" s="1"/>
      <c r="J29" s="1">
        <f t="shared" si="4"/>
        <v>0</v>
      </c>
    </row>
    <row r="32" spans="2:10" x14ac:dyDescent="0.45">
      <c r="G32" s="1" t="s">
        <v>106</v>
      </c>
      <c r="H32" s="1" t="s">
        <v>107</v>
      </c>
    </row>
    <row r="33" spans="7:10" x14ac:dyDescent="0.45">
      <c r="G33" s="1"/>
      <c r="H33" s="1"/>
    </row>
    <row r="34" spans="7:10" x14ac:dyDescent="0.45">
      <c r="G34" s="1"/>
      <c r="H34" s="1"/>
    </row>
    <row r="36" spans="7:10" x14ac:dyDescent="0.45">
      <c r="G36" s="1" t="s">
        <v>108</v>
      </c>
      <c r="H36" s="1" t="s">
        <v>107</v>
      </c>
    </row>
    <row r="37" spans="7:10" x14ac:dyDescent="0.45">
      <c r="G37" s="1"/>
      <c r="H37" s="1"/>
    </row>
    <row r="39" spans="7:10" x14ac:dyDescent="0.45">
      <c r="G39" s="1" t="s">
        <v>109</v>
      </c>
      <c r="H39" s="1" t="s">
        <v>107</v>
      </c>
    </row>
    <row r="40" spans="7:10" x14ac:dyDescent="0.45">
      <c r="G40" s="1"/>
      <c r="H40" s="1"/>
    </row>
    <row r="43" spans="7:10" x14ac:dyDescent="0.45">
      <c r="G43" s="1" t="s">
        <v>110</v>
      </c>
      <c r="H43" s="1" t="s">
        <v>96</v>
      </c>
    </row>
    <row r="44" spans="7:10" x14ac:dyDescent="0.45">
      <c r="G44" s="1"/>
      <c r="H44" s="1"/>
    </row>
    <row r="46" spans="7:10" x14ac:dyDescent="0.45">
      <c r="G46" s="1" t="s">
        <v>111</v>
      </c>
      <c r="H46" s="106" t="s">
        <v>107</v>
      </c>
      <c r="I46" s="1" t="s">
        <v>5</v>
      </c>
      <c r="J46" s="1" t="s">
        <v>6</v>
      </c>
    </row>
    <row r="47" spans="7:10" x14ac:dyDescent="0.45">
      <c r="G47" s="1" t="s">
        <v>112</v>
      </c>
      <c r="H47" s="48">
        <f>SUM(I47:J47)</f>
        <v>150000</v>
      </c>
      <c r="I47" s="115">
        <v>150000</v>
      </c>
      <c r="J47" s="116"/>
    </row>
    <row r="48" spans="7:10" x14ac:dyDescent="0.45">
      <c r="G48" s="1" t="s">
        <v>113</v>
      </c>
      <c r="H48" s="48">
        <f>SUM(I48:J48)</f>
        <v>20000</v>
      </c>
      <c r="I48" s="116"/>
      <c r="J48" s="115">
        <v>20000</v>
      </c>
    </row>
    <row r="49" spans="7:10" x14ac:dyDescent="0.45">
      <c r="G49" s="107" t="s">
        <v>96</v>
      </c>
      <c r="H49" s="108">
        <f>SUM(H39:H48)</f>
        <v>170000</v>
      </c>
      <c r="I49" s="117">
        <f>SUM(I39:I48)</f>
        <v>150000</v>
      </c>
      <c r="J49" s="117">
        <f>SUM(J39:J48)</f>
        <v>20000</v>
      </c>
    </row>
    <row r="50" spans="7:10" x14ac:dyDescent="0.45">
      <c r="G50" s="1" t="s">
        <v>114</v>
      </c>
      <c r="H50" s="48">
        <f>SUM(I50:J50)</f>
        <v>2000000</v>
      </c>
      <c r="I50" s="115">
        <v>2000000</v>
      </c>
      <c r="J50" s="116"/>
    </row>
    <row r="51" spans="7:10" x14ac:dyDescent="0.45">
      <c r="G51" s="1" t="s">
        <v>115</v>
      </c>
      <c r="H51" s="48">
        <f t="shared" ref="H51:H56" si="6">SUM(I51:J51)</f>
        <v>450000</v>
      </c>
      <c r="I51" s="115">
        <v>450000</v>
      </c>
      <c r="J51" s="116"/>
    </row>
    <row r="52" spans="7:10" x14ac:dyDescent="0.45">
      <c r="G52" s="1" t="s">
        <v>116</v>
      </c>
      <c r="H52" s="48">
        <f t="shared" si="6"/>
        <v>450000</v>
      </c>
      <c r="I52" s="115">
        <v>450000</v>
      </c>
      <c r="J52" s="116"/>
    </row>
    <row r="53" spans="7:10" x14ac:dyDescent="0.45">
      <c r="G53" s="1" t="s">
        <v>117</v>
      </c>
      <c r="H53" s="48">
        <f t="shared" si="6"/>
        <v>900000</v>
      </c>
      <c r="I53" s="115">
        <f>1800000/2</f>
        <v>900000</v>
      </c>
      <c r="J53" s="116"/>
    </row>
    <row r="54" spans="7:10" x14ac:dyDescent="0.45">
      <c r="G54" s="1" t="s">
        <v>118</v>
      </c>
      <c r="H54" s="48">
        <f t="shared" si="6"/>
        <v>4350000</v>
      </c>
      <c r="I54" s="115">
        <f>7500000*0.58</f>
        <v>4350000</v>
      </c>
      <c r="J54" s="116"/>
    </row>
    <row r="55" spans="7:10" x14ac:dyDescent="0.45">
      <c r="G55" s="1" t="s">
        <v>119</v>
      </c>
      <c r="H55" s="48">
        <f t="shared" si="6"/>
        <v>348000</v>
      </c>
      <c r="I55" s="116"/>
      <c r="J55" s="115">
        <f>600000*0.58</f>
        <v>348000</v>
      </c>
    </row>
    <row r="56" spans="7:10" x14ac:dyDescent="0.45">
      <c r="G56" s="1" t="s">
        <v>120</v>
      </c>
      <c r="H56" s="48">
        <f t="shared" si="6"/>
        <v>1549200</v>
      </c>
      <c r="I56" s="116"/>
      <c r="J56" s="115">
        <f>12000000*0.1291</f>
        <v>1549200</v>
      </c>
    </row>
    <row r="57" spans="7:10" x14ac:dyDescent="0.45">
      <c r="G57" s="107" t="s">
        <v>96</v>
      </c>
      <c r="H57" s="108">
        <f>SUM(H50:H56)</f>
        <v>10047200</v>
      </c>
      <c r="I57" s="117">
        <f>SUM(I50:I56)</f>
        <v>8150000</v>
      </c>
      <c r="J57" s="117">
        <f>SUM(J50:J56)</f>
        <v>1897200</v>
      </c>
    </row>
  </sheetData>
  <mergeCells count="9">
    <mergeCell ref="J2:J3"/>
    <mergeCell ref="K2:K3"/>
    <mergeCell ref="L2:L3"/>
    <mergeCell ref="M2:M3"/>
    <mergeCell ref="B2:E2"/>
    <mergeCell ref="B3:E3"/>
    <mergeCell ref="G2:G3"/>
    <mergeCell ref="H2:H3"/>
    <mergeCell ref="I2:I3"/>
  </mergeCells>
  <phoneticPr fontId="2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P20"/>
  <sheetViews>
    <sheetView workbookViewId="0">
      <selection activeCell="K28" sqref="K28"/>
    </sheetView>
  </sheetViews>
  <sheetFormatPr defaultColWidth="9" defaultRowHeight="14" x14ac:dyDescent="0.45"/>
  <cols>
    <col min="2" max="2" width="5.76171875" customWidth="1"/>
    <col min="3" max="3" width="38.41015625" customWidth="1"/>
    <col min="4" max="8" width="9.76171875" customWidth="1"/>
    <col min="10" max="10" width="8.3515625" customWidth="1"/>
    <col min="11" max="11" width="29.703125" customWidth="1"/>
    <col min="16" max="16" width="11.52734375" customWidth="1"/>
    <col min="20" max="20" width="12.703125"/>
  </cols>
  <sheetData>
    <row r="2" spans="2:16" x14ac:dyDescent="0.45">
      <c r="B2" s="181" t="s">
        <v>121</v>
      </c>
      <c r="C2" s="182"/>
      <c r="D2" s="182"/>
      <c r="E2" s="182"/>
      <c r="F2" s="182"/>
      <c r="G2" s="182"/>
      <c r="H2" s="183"/>
      <c r="J2" s="181" t="s">
        <v>122</v>
      </c>
      <c r="K2" s="182"/>
      <c r="L2" s="182"/>
      <c r="M2" s="182"/>
      <c r="N2" s="182"/>
      <c r="O2" s="182"/>
      <c r="P2" s="183"/>
    </row>
    <row r="3" spans="2:16" x14ac:dyDescent="0.45">
      <c r="B3" s="84"/>
      <c r="C3" s="85"/>
      <c r="D3" s="85"/>
      <c r="E3" s="86" t="s">
        <v>123</v>
      </c>
      <c r="F3" s="86" t="s">
        <v>124</v>
      </c>
      <c r="G3" s="86" t="s">
        <v>125</v>
      </c>
      <c r="H3" s="86" t="s">
        <v>126</v>
      </c>
      <c r="J3" s="84"/>
      <c r="K3" s="85"/>
      <c r="L3" s="85"/>
      <c r="M3" s="86" t="s">
        <v>123</v>
      </c>
      <c r="N3" s="86" t="s">
        <v>124</v>
      </c>
      <c r="O3" s="86" t="s">
        <v>125</v>
      </c>
      <c r="P3" s="86" t="s">
        <v>126</v>
      </c>
    </row>
    <row r="4" spans="2:16" ht="16" customHeight="1" x14ac:dyDescent="0.45">
      <c r="B4" s="87"/>
      <c r="C4" s="9" t="s">
        <v>127</v>
      </c>
      <c r="D4" s="79">
        <v>0</v>
      </c>
      <c r="E4" s="9"/>
      <c r="F4" s="9"/>
      <c r="G4" s="9"/>
      <c r="H4" s="9"/>
      <c r="J4" s="87"/>
      <c r="K4" s="9" t="s">
        <v>128</v>
      </c>
      <c r="L4" s="79">
        <v>0</v>
      </c>
      <c r="M4" s="9"/>
      <c r="N4" s="9"/>
      <c r="O4" s="9"/>
      <c r="P4" s="9"/>
    </row>
    <row r="5" spans="2:16" ht="16" customHeight="1" x14ac:dyDescent="0.45">
      <c r="B5" s="87"/>
      <c r="C5" s="9" t="s">
        <v>129</v>
      </c>
      <c r="D5" s="88">
        <v>4.3999999999999997E-2</v>
      </c>
      <c r="E5" s="9"/>
      <c r="F5" s="9"/>
      <c r="G5" s="9"/>
      <c r="H5" s="9"/>
      <c r="J5" s="87"/>
      <c r="K5" s="9" t="s">
        <v>129</v>
      </c>
      <c r="L5" s="88">
        <v>0.03</v>
      </c>
      <c r="M5" s="9"/>
      <c r="N5" s="9"/>
      <c r="O5" s="9"/>
      <c r="P5" s="9"/>
    </row>
    <row r="6" spans="2:16" ht="16" customHeight="1" x14ac:dyDescent="0.45">
      <c r="B6" s="87"/>
      <c r="C6" s="9" t="s">
        <v>130</v>
      </c>
      <c r="D6" s="89">
        <v>40</v>
      </c>
      <c r="E6" s="9"/>
      <c r="F6" s="9"/>
      <c r="G6" s="9"/>
      <c r="H6" s="9"/>
      <c r="J6" s="87"/>
      <c r="K6" s="9" t="s">
        <v>130</v>
      </c>
      <c r="L6" s="89">
        <v>9</v>
      </c>
      <c r="M6" s="9"/>
      <c r="N6" s="9"/>
      <c r="O6" s="9"/>
      <c r="P6" s="9"/>
    </row>
    <row r="7" spans="2:16" ht="16" customHeight="1" x14ac:dyDescent="0.45">
      <c r="B7" s="87"/>
      <c r="C7" s="9" t="s">
        <v>131</v>
      </c>
      <c r="D7" s="89">
        <v>7</v>
      </c>
      <c r="E7" s="9"/>
      <c r="F7" s="9"/>
      <c r="G7" s="9"/>
      <c r="H7" s="9"/>
      <c r="J7" s="87"/>
      <c r="K7" s="9" t="s">
        <v>131</v>
      </c>
      <c r="L7" s="89">
        <v>2</v>
      </c>
      <c r="M7" s="9"/>
      <c r="N7" s="9"/>
      <c r="O7" s="9"/>
      <c r="P7" s="9"/>
    </row>
    <row r="8" spans="2:16" ht="16" customHeight="1" x14ac:dyDescent="0.45">
      <c r="B8" s="87"/>
      <c r="C8" s="9" t="s">
        <v>132</v>
      </c>
      <c r="D8" s="89">
        <f>D6-D7</f>
        <v>33</v>
      </c>
      <c r="E8" s="9"/>
      <c r="F8" s="9"/>
      <c r="G8" s="9"/>
      <c r="H8" s="9"/>
      <c r="J8" s="87"/>
      <c r="K8" s="9" t="s">
        <v>132</v>
      </c>
      <c r="L8" s="89">
        <f>L6-L7</f>
        <v>7</v>
      </c>
      <c r="M8" s="9"/>
      <c r="N8" s="9"/>
      <c r="O8" s="9"/>
      <c r="P8" s="9"/>
    </row>
    <row r="9" spans="2:16" ht="16" customHeight="1" x14ac:dyDescent="0.45">
      <c r="B9" s="87"/>
      <c r="C9" s="9" t="s">
        <v>133</v>
      </c>
      <c r="D9" s="88">
        <v>3.7999999999999999E-2</v>
      </c>
      <c r="E9" s="9"/>
      <c r="F9" s="9"/>
      <c r="G9" s="9"/>
      <c r="H9" s="9"/>
      <c r="J9" s="87"/>
      <c r="K9" s="9" t="s">
        <v>133</v>
      </c>
      <c r="L9" s="88">
        <v>0.02</v>
      </c>
      <c r="M9" s="9"/>
      <c r="N9" s="9"/>
      <c r="O9" s="9"/>
      <c r="P9" s="9"/>
    </row>
    <row r="10" spans="2:16" ht="16" customHeight="1" x14ac:dyDescent="0.45">
      <c r="B10" s="87"/>
      <c r="C10" s="9"/>
      <c r="D10" s="9"/>
      <c r="E10" s="9"/>
      <c r="F10" s="9"/>
      <c r="G10" s="9"/>
      <c r="H10" s="9"/>
      <c r="J10" s="87"/>
      <c r="K10" s="9"/>
      <c r="L10" s="9"/>
      <c r="M10" s="9"/>
      <c r="N10" s="9"/>
      <c r="O10" s="9"/>
      <c r="P10" s="9"/>
    </row>
    <row r="11" spans="2:16" ht="16" customHeight="1" x14ac:dyDescent="0.45">
      <c r="B11" s="87">
        <v>1</v>
      </c>
      <c r="C11" s="9" t="s">
        <v>134</v>
      </c>
      <c r="D11" s="9"/>
      <c r="E11" s="10">
        <f>D6</f>
        <v>40</v>
      </c>
      <c r="F11" s="90">
        <f>D5</f>
        <v>4.3999999999999997E-2</v>
      </c>
      <c r="G11" s="7">
        <f>D4</f>
        <v>0</v>
      </c>
      <c r="H11" s="7">
        <f>PMT(F11/12,E11*12,-G11)</f>
        <v>0</v>
      </c>
      <c r="J11" s="87">
        <v>1</v>
      </c>
      <c r="K11" s="9" t="s">
        <v>134</v>
      </c>
      <c r="L11" s="9"/>
      <c r="M11" s="10">
        <f>L6</f>
        <v>9</v>
      </c>
      <c r="N11" s="90">
        <f>L5</f>
        <v>0.03</v>
      </c>
      <c r="O11" s="7">
        <f>L4</f>
        <v>0</v>
      </c>
      <c r="P11" s="7">
        <f>P13/(L6*12)</f>
        <v>0</v>
      </c>
    </row>
    <row r="12" spans="2:16" ht="16" customHeight="1" x14ac:dyDescent="0.45">
      <c r="B12" s="87">
        <v>2</v>
      </c>
      <c r="C12" s="9" t="s">
        <v>135</v>
      </c>
      <c r="D12" s="9"/>
      <c r="E12" s="10"/>
      <c r="F12" s="10"/>
      <c r="G12" s="10"/>
      <c r="H12" s="7">
        <f>H13-D4</f>
        <v>0</v>
      </c>
      <c r="J12" s="87">
        <v>2</v>
      </c>
      <c r="K12" s="9" t="s">
        <v>135</v>
      </c>
      <c r="L12" s="9"/>
      <c r="M12" s="10"/>
      <c r="N12" s="10"/>
      <c r="O12" s="10"/>
      <c r="P12" s="7">
        <f>L4*L5*L6</f>
        <v>0</v>
      </c>
    </row>
    <row r="13" spans="2:16" ht="16" customHeight="1" x14ac:dyDescent="0.45">
      <c r="B13" s="87">
        <v>3</v>
      </c>
      <c r="C13" s="9" t="s">
        <v>136</v>
      </c>
      <c r="D13" s="9"/>
      <c r="E13" s="10"/>
      <c r="F13" s="10"/>
      <c r="G13" s="10"/>
      <c r="H13" s="7">
        <f>H11*E11*12</f>
        <v>0</v>
      </c>
      <c r="J13" s="87">
        <v>3</v>
      </c>
      <c r="K13" s="9" t="s">
        <v>136</v>
      </c>
      <c r="L13" s="9"/>
      <c r="M13" s="10"/>
      <c r="N13" s="10"/>
      <c r="O13" s="10"/>
      <c r="P13" s="7">
        <f>L4+P12</f>
        <v>0</v>
      </c>
    </row>
    <row r="14" spans="2:16" ht="16" customHeight="1" x14ac:dyDescent="0.45">
      <c r="B14" s="87">
        <v>4</v>
      </c>
      <c r="C14" s="9" t="s">
        <v>137</v>
      </c>
      <c r="D14" s="9"/>
      <c r="E14" s="10"/>
      <c r="F14" s="10"/>
      <c r="G14" s="7">
        <f>-FV(F11/12,D7*12,-H11,D4)</f>
        <v>0</v>
      </c>
      <c r="H14" s="10"/>
      <c r="J14" s="87">
        <v>4</v>
      </c>
      <c r="K14" s="9" t="s">
        <v>137</v>
      </c>
      <c r="L14" s="9"/>
      <c r="M14" s="10"/>
      <c r="N14" s="10"/>
      <c r="O14" s="7">
        <f>L4-((L4/L6)*L7)</f>
        <v>0</v>
      </c>
      <c r="P14" s="10"/>
    </row>
    <row r="15" spans="2:16" ht="16" customHeight="1" x14ac:dyDescent="0.45">
      <c r="B15" s="87"/>
      <c r="C15" s="9"/>
      <c r="D15" s="9"/>
      <c r="E15" s="10"/>
      <c r="F15" s="10"/>
      <c r="G15" s="10"/>
      <c r="H15" s="10"/>
      <c r="J15" s="87"/>
      <c r="K15" s="9"/>
      <c r="L15" s="9"/>
      <c r="M15" s="10"/>
      <c r="N15" s="10"/>
      <c r="O15" s="10"/>
      <c r="P15" s="10"/>
    </row>
    <row r="16" spans="2:16" ht="16" customHeight="1" x14ac:dyDescent="0.45">
      <c r="B16" s="87">
        <v>5</v>
      </c>
      <c r="C16" s="9" t="s">
        <v>138</v>
      </c>
      <c r="D16" s="9"/>
      <c r="E16" s="10">
        <f>D6-D7</f>
        <v>33</v>
      </c>
      <c r="F16" s="90">
        <f>D9</f>
        <v>3.7999999999999999E-2</v>
      </c>
      <c r="G16" s="7">
        <f>G14</f>
        <v>0</v>
      </c>
      <c r="H16" s="7">
        <f>PMT(D9/12,D8*12,-G16)</f>
        <v>0</v>
      </c>
      <c r="J16" s="87">
        <v>5</v>
      </c>
      <c r="K16" s="9" t="s">
        <v>138</v>
      </c>
      <c r="L16" s="9"/>
      <c r="M16" s="10">
        <f>L8</f>
        <v>7</v>
      </c>
      <c r="N16" s="90">
        <f>L9</f>
        <v>0.02</v>
      </c>
      <c r="O16" s="7">
        <f>O14</f>
        <v>0</v>
      </c>
      <c r="P16" s="7">
        <f>(O16+(O16*N16*M16))/(M16*12)</f>
        <v>0</v>
      </c>
    </row>
    <row r="17" spans="2:16" x14ac:dyDescent="0.45">
      <c r="B17" s="87"/>
      <c r="C17" s="91"/>
      <c r="D17" s="91"/>
      <c r="E17" s="92"/>
      <c r="F17" s="92"/>
      <c r="G17" s="92"/>
      <c r="H17" s="92"/>
      <c r="J17" s="87"/>
      <c r="K17" s="91"/>
      <c r="L17" s="91"/>
      <c r="M17" s="92"/>
      <c r="N17" s="92"/>
      <c r="O17" s="92"/>
      <c r="P17" s="92"/>
    </row>
    <row r="18" spans="2:16" x14ac:dyDescent="0.45">
      <c r="B18" s="93"/>
      <c r="C18" s="184" t="s">
        <v>139</v>
      </c>
      <c r="D18" s="185"/>
      <c r="E18" s="185"/>
      <c r="F18" s="185"/>
      <c r="G18" s="186"/>
      <c r="H18" s="94">
        <f>H11-H16</f>
        <v>0</v>
      </c>
      <c r="J18" s="93"/>
      <c r="K18" s="184" t="s">
        <v>139</v>
      </c>
      <c r="L18" s="185"/>
      <c r="M18" s="185"/>
      <c r="N18" s="185"/>
      <c r="O18" s="186"/>
      <c r="P18" s="94">
        <f>P11-P16</f>
        <v>0</v>
      </c>
    </row>
    <row r="19" spans="2:16" x14ac:dyDescent="0.45">
      <c r="B19" s="93"/>
      <c r="C19" s="184" t="s">
        <v>140</v>
      </c>
      <c r="D19" s="185"/>
      <c r="E19" s="185"/>
      <c r="F19" s="185"/>
      <c r="G19" s="186"/>
      <c r="H19" s="94">
        <f>H18*12</f>
        <v>0</v>
      </c>
      <c r="J19" s="93"/>
      <c r="K19" s="184" t="s">
        <v>140</v>
      </c>
      <c r="L19" s="185"/>
      <c r="M19" s="185"/>
      <c r="N19" s="185"/>
      <c r="O19" s="186"/>
      <c r="P19" s="94">
        <f>P18*12</f>
        <v>0</v>
      </c>
    </row>
    <row r="20" spans="2:16" x14ac:dyDescent="0.45">
      <c r="B20" s="93"/>
      <c r="C20" s="184" t="s">
        <v>141</v>
      </c>
      <c r="D20" s="185"/>
      <c r="E20" s="185"/>
      <c r="F20" s="185"/>
      <c r="G20" s="186"/>
      <c r="H20" s="94">
        <f>H19*E16</f>
        <v>0</v>
      </c>
      <c r="J20" s="93"/>
      <c r="K20" s="184" t="s">
        <v>141</v>
      </c>
      <c r="L20" s="185"/>
      <c r="M20" s="185"/>
      <c r="N20" s="185"/>
      <c r="O20" s="186"/>
      <c r="P20" s="94">
        <f>P19*M16</f>
        <v>0</v>
      </c>
    </row>
  </sheetData>
  <mergeCells count="8">
    <mergeCell ref="C20:G20"/>
    <mergeCell ref="K20:O20"/>
    <mergeCell ref="B2:H2"/>
    <mergeCell ref="J2:P2"/>
    <mergeCell ref="C18:G18"/>
    <mergeCell ref="K18:O18"/>
    <mergeCell ref="C19:G19"/>
    <mergeCell ref="K19:O19"/>
  </mergeCells>
  <phoneticPr fontId="2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L36"/>
  <sheetViews>
    <sheetView workbookViewId="0">
      <selection activeCell="F35" sqref="F35"/>
    </sheetView>
  </sheetViews>
  <sheetFormatPr defaultColWidth="9" defaultRowHeight="14" x14ac:dyDescent="0.45"/>
  <cols>
    <col min="2" max="2" width="9.29296875" customWidth="1"/>
    <col min="3" max="3" width="47.41015625" customWidth="1"/>
    <col min="4" max="6" width="19" customWidth="1"/>
    <col min="7" max="7" width="14.52734375" customWidth="1"/>
    <col min="8" max="8" width="9.29296875" customWidth="1"/>
    <col min="9" max="9" width="47.41015625" customWidth="1"/>
    <col min="10" max="12" width="19" customWidth="1"/>
  </cols>
  <sheetData>
    <row r="2" spans="2:12" ht="14.35" customHeight="1" x14ac:dyDescent="0.45">
      <c r="B2" s="187" t="s">
        <v>142</v>
      </c>
      <c r="C2" s="188"/>
      <c r="D2" s="188"/>
      <c r="E2" s="188"/>
      <c r="F2" s="189"/>
      <c r="H2" s="187" t="s">
        <v>142</v>
      </c>
      <c r="I2" s="188"/>
      <c r="J2" s="188"/>
      <c r="K2" s="188"/>
      <c r="L2" s="189"/>
    </row>
    <row r="3" spans="2:12" x14ac:dyDescent="0.45">
      <c r="B3" s="33"/>
      <c r="C3" s="34"/>
      <c r="D3" s="4" t="s">
        <v>143</v>
      </c>
      <c r="E3" s="34"/>
      <c r="F3" s="34"/>
      <c r="H3" s="33"/>
      <c r="I3" s="34"/>
      <c r="J3" s="4" t="s">
        <v>143</v>
      </c>
      <c r="K3" s="34"/>
      <c r="L3" s="34"/>
    </row>
    <row r="4" spans="2:12" x14ac:dyDescent="0.45">
      <c r="B4" s="5"/>
      <c r="C4" s="9" t="s">
        <v>5</v>
      </c>
      <c r="D4" s="64">
        <v>50</v>
      </c>
      <c r="E4" s="9"/>
      <c r="F4" s="9"/>
      <c r="H4" s="5"/>
      <c r="I4" s="9" t="s">
        <v>6</v>
      </c>
      <c r="J4" s="11">
        <v>50</v>
      </c>
      <c r="K4" s="9"/>
      <c r="L4" s="9"/>
    </row>
    <row r="5" spans="2:12" ht="15.45" customHeight="1" x14ac:dyDescent="0.45">
      <c r="B5" s="33"/>
      <c r="C5" s="34"/>
      <c r="D5" s="65" t="s">
        <v>144</v>
      </c>
      <c r="E5" s="4" t="s">
        <v>123</v>
      </c>
      <c r="F5" s="4" t="s">
        <v>145</v>
      </c>
      <c r="H5" s="33"/>
      <c r="I5" s="34"/>
      <c r="J5" s="65" t="s">
        <v>144</v>
      </c>
      <c r="K5" s="4" t="s">
        <v>123</v>
      </c>
      <c r="L5" s="4" t="s">
        <v>145</v>
      </c>
    </row>
    <row r="6" spans="2:12" ht="15.45" customHeight="1" x14ac:dyDescent="0.45">
      <c r="B6" s="5"/>
      <c r="C6" s="9" t="s">
        <v>146</v>
      </c>
      <c r="D6" s="7">
        <f>CashFlow!C6/12</f>
        <v>4500</v>
      </c>
      <c r="E6" s="11">
        <v>12</v>
      </c>
      <c r="F6" s="7">
        <f>D6*E6</f>
        <v>54000</v>
      </c>
      <c r="H6" s="5"/>
      <c r="I6" s="9"/>
      <c r="J6" s="7"/>
      <c r="K6" s="11"/>
      <c r="L6" s="7"/>
    </row>
    <row r="7" spans="2:12" ht="15.45" customHeight="1" x14ac:dyDescent="0.45">
      <c r="B7" s="5"/>
      <c r="C7" s="9" t="s">
        <v>147</v>
      </c>
      <c r="D7" s="7">
        <f>CashFlow!D6/12</f>
        <v>4500</v>
      </c>
      <c r="E7" s="11">
        <v>12</v>
      </c>
      <c r="F7" s="7">
        <f>D7*E7</f>
        <v>54000</v>
      </c>
      <c r="H7" s="5"/>
      <c r="I7" s="9" t="s">
        <v>148</v>
      </c>
      <c r="J7" s="7">
        <f>D7</f>
        <v>4500</v>
      </c>
      <c r="K7" s="11">
        <v>12</v>
      </c>
      <c r="L7" s="7">
        <f>J7*K7</f>
        <v>54000</v>
      </c>
    </row>
    <row r="8" spans="2:12" ht="15.45" customHeight="1" x14ac:dyDescent="0.45">
      <c r="B8" s="33"/>
      <c r="C8" s="34"/>
      <c r="D8" s="49" t="s">
        <v>143</v>
      </c>
      <c r="E8" s="12" t="s">
        <v>149</v>
      </c>
      <c r="F8" s="4" t="s">
        <v>150</v>
      </c>
      <c r="H8" s="33"/>
      <c r="I8" s="34"/>
      <c r="J8" s="49"/>
      <c r="K8" s="12"/>
      <c r="L8" s="4" t="s">
        <v>150</v>
      </c>
    </row>
    <row r="9" spans="2:12" ht="15.45" customHeight="1" x14ac:dyDescent="0.45">
      <c r="B9" s="5"/>
      <c r="C9" s="9" t="s">
        <v>6</v>
      </c>
      <c r="D9" s="64">
        <v>50</v>
      </c>
      <c r="E9" s="64">
        <v>100</v>
      </c>
      <c r="F9" s="11">
        <f>E9-D9</f>
        <v>50</v>
      </c>
      <c r="H9" s="5"/>
      <c r="I9" s="9" t="s">
        <v>6</v>
      </c>
      <c r="J9" s="11">
        <v>5</v>
      </c>
      <c r="K9" s="11">
        <v>25</v>
      </c>
      <c r="L9" s="11">
        <v>20</v>
      </c>
    </row>
    <row r="10" spans="2:12" ht="15.45" customHeight="1" x14ac:dyDescent="0.45">
      <c r="B10" s="5"/>
      <c r="C10" s="9" t="s">
        <v>151</v>
      </c>
      <c r="D10" s="64">
        <v>80</v>
      </c>
      <c r="E10" s="64">
        <v>90</v>
      </c>
      <c r="F10" s="11">
        <f>E10-D10</f>
        <v>10</v>
      </c>
      <c r="H10" s="5"/>
      <c r="I10" s="9" t="s">
        <v>152</v>
      </c>
      <c r="J10" s="11">
        <v>5</v>
      </c>
      <c r="K10" s="11">
        <v>25</v>
      </c>
      <c r="L10" s="11">
        <v>20</v>
      </c>
    </row>
    <row r="11" spans="2:12" ht="15.45" customHeight="1" x14ac:dyDescent="0.45">
      <c r="B11" s="5"/>
      <c r="C11" s="9" t="s">
        <v>153</v>
      </c>
      <c r="D11" s="10"/>
      <c r="E11" s="66">
        <v>1</v>
      </c>
      <c r="F11" s="7">
        <f>F6*E11</f>
        <v>54000</v>
      </c>
      <c r="H11" s="5"/>
      <c r="I11" s="9" t="s">
        <v>153</v>
      </c>
      <c r="J11" s="10"/>
      <c r="K11" s="83">
        <v>1</v>
      </c>
      <c r="L11" s="7">
        <f>L7*K11</f>
        <v>54000</v>
      </c>
    </row>
    <row r="12" spans="2:12" ht="15.45" customHeight="1" x14ac:dyDescent="0.45">
      <c r="B12" s="5"/>
      <c r="C12" s="9" t="s">
        <v>154</v>
      </c>
      <c r="D12" s="10"/>
      <c r="E12" s="66">
        <v>0.05</v>
      </c>
      <c r="F12" s="10"/>
      <c r="H12" s="5"/>
      <c r="I12" s="9" t="s">
        <v>154</v>
      </c>
      <c r="J12" s="10"/>
      <c r="K12" s="83">
        <v>0.05</v>
      </c>
      <c r="L12" s="10"/>
    </row>
    <row r="13" spans="2:12" ht="15.45" customHeight="1" x14ac:dyDescent="0.45">
      <c r="B13" s="67"/>
      <c r="C13" s="68" t="s">
        <v>155</v>
      </c>
      <c r="D13" s="69"/>
      <c r="E13" s="70">
        <v>0.05</v>
      </c>
      <c r="F13" s="69"/>
      <c r="H13" s="5"/>
      <c r="I13" s="9" t="s">
        <v>155</v>
      </c>
      <c r="J13" s="10"/>
      <c r="K13" s="83">
        <v>0.05</v>
      </c>
      <c r="L13" s="10"/>
    </row>
    <row r="14" spans="2:12" ht="15.45" customHeight="1" x14ac:dyDescent="0.45">
      <c r="B14" s="71" t="s">
        <v>123</v>
      </c>
      <c r="C14" s="72" t="s">
        <v>156</v>
      </c>
      <c r="D14" s="72" t="s">
        <v>157</v>
      </c>
      <c r="E14" s="72" t="s">
        <v>126</v>
      </c>
      <c r="F14" s="72" t="s">
        <v>125</v>
      </c>
      <c r="H14" s="2" t="s">
        <v>123</v>
      </c>
      <c r="I14" s="72" t="s">
        <v>156</v>
      </c>
      <c r="J14" s="4" t="s">
        <v>157</v>
      </c>
      <c r="K14" s="4" t="s">
        <v>126</v>
      </c>
      <c r="L14" s="4" t="s">
        <v>125</v>
      </c>
    </row>
    <row r="15" spans="2:12" ht="15.45" customHeight="1" x14ac:dyDescent="0.45">
      <c r="B15" s="73">
        <f>F9</f>
        <v>50</v>
      </c>
      <c r="C15" s="74">
        <f>E12</f>
        <v>0.05</v>
      </c>
      <c r="D15" s="74">
        <f>E13</f>
        <v>0.05</v>
      </c>
      <c r="E15" s="75">
        <f>F11</f>
        <v>54000</v>
      </c>
      <c r="F15" s="75">
        <f>PV((1+C15)/(1+D15)-1,B15,-E15)</f>
        <v>2700000</v>
      </c>
      <c r="G15" s="48"/>
      <c r="H15" s="5">
        <v>20</v>
      </c>
      <c r="I15" s="11">
        <f>K12</f>
        <v>0.05</v>
      </c>
      <c r="J15" s="83">
        <f>K13</f>
        <v>0.05</v>
      </c>
      <c r="K15" s="7">
        <f>L11</f>
        <v>54000</v>
      </c>
      <c r="L15" s="7">
        <v>3623126</v>
      </c>
    </row>
    <row r="16" spans="2:12" ht="15.45" customHeight="1" x14ac:dyDescent="0.45">
      <c r="B16" s="73">
        <f>F10</f>
        <v>10</v>
      </c>
      <c r="C16" s="74">
        <f>E12</f>
        <v>0.05</v>
      </c>
      <c r="D16" s="74">
        <f>E13</f>
        <v>0.05</v>
      </c>
      <c r="E16" s="75">
        <v>3500</v>
      </c>
      <c r="F16" s="75">
        <f>PV((1+C16)/(1+D16)-1,B16,-E16)</f>
        <v>35000</v>
      </c>
      <c r="H16" s="5"/>
      <c r="I16" s="11"/>
      <c r="J16" s="83"/>
      <c r="K16" s="7"/>
      <c r="L16" s="7"/>
    </row>
    <row r="17" spans="2:12" ht="15.45" customHeight="1" x14ac:dyDescent="0.45">
      <c r="B17" s="76"/>
      <c r="C17" s="76"/>
      <c r="D17" s="77"/>
      <c r="E17" s="78"/>
      <c r="F17" s="78"/>
      <c r="G17" s="43"/>
      <c r="H17" s="5"/>
      <c r="I17" s="9"/>
      <c r="J17" s="11"/>
      <c r="K17" s="10"/>
      <c r="L17" s="10"/>
    </row>
    <row r="18" spans="2:12" ht="15.45" customHeight="1" x14ac:dyDescent="0.45">
      <c r="B18" s="33"/>
      <c r="C18" s="34"/>
      <c r="D18" s="4" t="s">
        <v>123</v>
      </c>
      <c r="E18" s="65" t="s">
        <v>8</v>
      </c>
      <c r="F18" s="49"/>
      <c r="H18" s="33"/>
      <c r="I18" s="34"/>
      <c r="J18" s="4" t="s">
        <v>123</v>
      </c>
      <c r="K18" s="65" t="s">
        <v>8</v>
      </c>
      <c r="L18" s="49"/>
    </row>
    <row r="19" spans="2:12" ht="15.45" customHeight="1" x14ac:dyDescent="0.45">
      <c r="B19" s="5">
        <v>1</v>
      </c>
      <c r="C19" s="9" t="s">
        <v>158</v>
      </c>
      <c r="D19" s="11">
        <v>12</v>
      </c>
      <c r="E19" s="7">
        <f>F11/12</f>
        <v>4500</v>
      </c>
      <c r="F19" s="7">
        <f>D19*E19</f>
        <v>54000</v>
      </c>
      <c r="G19" s="43"/>
      <c r="H19" s="5">
        <v>1</v>
      </c>
      <c r="I19" s="9" t="s">
        <v>158</v>
      </c>
      <c r="J19" s="11">
        <v>6</v>
      </c>
      <c r="K19" s="7">
        <v>16667</v>
      </c>
      <c r="L19" s="7">
        <v>100000</v>
      </c>
    </row>
    <row r="20" spans="2:12" ht="15.45" customHeight="1" x14ac:dyDescent="0.45">
      <c r="B20" s="5">
        <v>2</v>
      </c>
      <c r="C20" s="9" t="s">
        <v>159</v>
      </c>
      <c r="D20" s="11"/>
      <c r="E20" s="10"/>
      <c r="F20" s="79">
        <v>20000</v>
      </c>
      <c r="H20" s="5">
        <v>2</v>
      </c>
      <c r="I20" s="9" t="s">
        <v>159</v>
      </c>
      <c r="J20" s="11"/>
      <c r="K20" s="10"/>
      <c r="L20" s="7">
        <v>20000</v>
      </c>
    </row>
    <row r="21" spans="2:12" ht="15.45" customHeight="1" x14ac:dyDescent="0.45">
      <c r="B21" s="5">
        <v>3</v>
      </c>
      <c r="C21" s="9" t="s">
        <v>160</v>
      </c>
      <c r="D21" s="11" t="s">
        <v>15</v>
      </c>
      <c r="E21" s="10"/>
      <c r="F21" s="7">
        <f>Loan!G14</f>
        <v>0</v>
      </c>
      <c r="H21" s="5">
        <v>3</v>
      </c>
      <c r="I21" s="9" t="s">
        <v>160</v>
      </c>
      <c r="J21" s="11">
        <v>33</v>
      </c>
      <c r="K21" s="10"/>
      <c r="L21" s="7">
        <v>668093</v>
      </c>
    </row>
    <row r="22" spans="2:12" ht="15.45" customHeight="1" x14ac:dyDescent="0.45">
      <c r="B22" s="5">
        <v>4</v>
      </c>
      <c r="C22" s="9" t="s">
        <v>161</v>
      </c>
      <c r="D22" s="11" t="s">
        <v>15</v>
      </c>
      <c r="E22" s="10"/>
      <c r="F22" s="7">
        <f>Loan!O14</f>
        <v>0</v>
      </c>
      <c r="H22" s="5">
        <v>4</v>
      </c>
      <c r="I22" s="9" t="s">
        <v>161</v>
      </c>
      <c r="J22" s="11">
        <v>24</v>
      </c>
      <c r="K22" s="10"/>
      <c r="L22" s="7">
        <v>26400</v>
      </c>
    </row>
    <row r="23" spans="2:12" ht="15.45" customHeight="1" x14ac:dyDescent="0.45">
      <c r="B23" s="80"/>
      <c r="C23" s="81" t="s">
        <v>162</v>
      </c>
      <c r="D23" s="82"/>
      <c r="E23" s="82"/>
      <c r="F23" s="24">
        <f>SUM(F19:F22)</f>
        <v>74000</v>
      </c>
      <c r="H23" s="80"/>
      <c r="I23" s="81" t="s">
        <v>162</v>
      </c>
      <c r="J23" s="82"/>
      <c r="K23" s="82"/>
      <c r="L23" s="24">
        <f>SUM(L19:L22)</f>
        <v>814493</v>
      </c>
    </row>
    <row r="24" spans="2:12" ht="15.45" customHeight="1" x14ac:dyDescent="0.45">
      <c r="B24" s="80"/>
      <c r="C24" s="81" t="s">
        <v>163</v>
      </c>
      <c r="D24" s="82"/>
      <c r="E24" s="82"/>
      <c r="F24" s="24">
        <f>SUM(F23,F15)</f>
        <v>2774000</v>
      </c>
      <c r="H24" s="80"/>
      <c r="I24" s="81" t="s">
        <v>163</v>
      </c>
      <c r="J24" s="82"/>
      <c r="K24" s="82"/>
      <c r="L24" s="24">
        <f>SUM(L23,L15)</f>
        <v>4437619</v>
      </c>
    </row>
    <row r="25" spans="2:12" ht="15.45" customHeight="1" x14ac:dyDescent="0.45">
      <c r="B25" s="5"/>
      <c r="C25" s="9"/>
      <c r="D25" s="10"/>
      <c r="E25" s="10"/>
      <c r="F25" s="10"/>
      <c r="H25" s="5"/>
      <c r="I25" s="9"/>
      <c r="J25" s="10"/>
      <c r="K25" s="10"/>
      <c r="L25" s="10"/>
    </row>
    <row r="26" spans="2:12" ht="15.45" customHeight="1" x14ac:dyDescent="0.45">
      <c r="B26" s="5"/>
      <c r="C26" s="40" t="s">
        <v>164</v>
      </c>
      <c r="D26" s="10"/>
      <c r="E26" s="10"/>
      <c r="F26" s="10"/>
      <c r="H26" s="5"/>
      <c r="I26" s="40" t="s">
        <v>164</v>
      </c>
      <c r="J26" s="10"/>
      <c r="K26" s="10"/>
      <c r="L26" s="10"/>
    </row>
    <row r="27" spans="2:12" ht="15.45" customHeight="1" x14ac:dyDescent="0.45">
      <c r="B27" s="5"/>
      <c r="C27" s="9" t="s">
        <v>165</v>
      </c>
      <c r="D27" s="10"/>
      <c r="E27" s="10"/>
      <c r="F27" s="7">
        <f>'Net Worth'!C16</f>
        <v>679586.8</v>
      </c>
      <c r="H27" s="5"/>
      <c r="I27" s="9" t="s">
        <v>165</v>
      </c>
      <c r="J27" s="10"/>
      <c r="K27" s="10"/>
      <c r="L27" s="7">
        <v>1500000</v>
      </c>
    </row>
    <row r="28" spans="2:12" ht="15.45" customHeight="1" x14ac:dyDescent="0.45">
      <c r="B28" s="5"/>
      <c r="C28" s="9" t="s">
        <v>166</v>
      </c>
      <c r="D28" s="10"/>
      <c r="E28" s="10"/>
      <c r="F28" s="7">
        <f>'Net Worth'!C9</f>
        <v>856000</v>
      </c>
      <c r="H28" s="5"/>
      <c r="I28" s="9" t="s">
        <v>166</v>
      </c>
      <c r="J28" s="10"/>
      <c r="K28" s="10"/>
      <c r="L28" s="7" t="s">
        <v>15</v>
      </c>
    </row>
    <row r="29" spans="2:12" ht="15.45" customHeight="1" x14ac:dyDescent="0.45">
      <c r="B29" s="5"/>
      <c r="C29" s="9" t="s">
        <v>167</v>
      </c>
      <c r="D29" s="10"/>
      <c r="E29" s="10"/>
      <c r="F29" s="7"/>
      <c r="H29" s="5"/>
      <c r="I29" s="9" t="s">
        <v>167</v>
      </c>
      <c r="J29" s="10"/>
      <c r="K29" s="10"/>
      <c r="L29" s="7" t="s">
        <v>15</v>
      </c>
    </row>
    <row r="30" spans="2:12" ht="15.45" customHeight="1" x14ac:dyDescent="0.45">
      <c r="B30" s="5"/>
      <c r="C30" s="9" t="s">
        <v>168</v>
      </c>
      <c r="D30" s="10"/>
      <c r="E30" s="10"/>
      <c r="F30" s="7">
        <f>'Net Worth'!C17</f>
        <v>513325.7</v>
      </c>
      <c r="H30" s="5"/>
      <c r="I30" s="9" t="s">
        <v>168</v>
      </c>
      <c r="J30" s="10"/>
      <c r="K30" s="10"/>
      <c r="L30" s="7">
        <v>180000</v>
      </c>
    </row>
    <row r="31" spans="2:12" ht="15.45" customHeight="1" x14ac:dyDescent="0.45">
      <c r="B31" s="5"/>
      <c r="C31" s="9" t="s">
        <v>81</v>
      </c>
      <c r="D31" s="10"/>
      <c r="E31" s="10"/>
      <c r="F31" s="7">
        <f>'Net Worth'!C21</f>
        <v>3527719.6224000002</v>
      </c>
      <c r="H31" s="5"/>
      <c r="I31" s="9"/>
      <c r="J31" s="10"/>
      <c r="K31" s="10"/>
      <c r="L31" s="7"/>
    </row>
    <row r="32" spans="2:12" ht="15.45" customHeight="1" x14ac:dyDescent="0.45">
      <c r="B32" s="5"/>
      <c r="C32" s="9"/>
      <c r="D32" s="10"/>
      <c r="E32" s="10"/>
      <c r="F32" s="7"/>
      <c r="H32" s="5"/>
      <c r="I32" s="9"/>
      <c r="J32" s="10"/>
      <c r="K32" s="10"/>
      <c r="L32" s="7"/>
    </row>
    <row r="33" spans="2:12" ht="15.45" customHeight="1" x14ac:dyDescent="0.45">
      <c r="B33" s="5"/>
      <c r="C33" s="9"/>
      <c r="D33" s="10"/>
      <c r="E33" s="10"/>
      <c r="F33" s="7"/>
      <c r="H33" s="5"/>
      <c r="I33" s="9"/>
      <c r="J33" s="10"/>
      <c r="K33" s="10"/>
      <c r="L33" s="7"/>
    </row>
    <row r="34" spans="2:12" ht="15.45" customHeight="1" x14ac:dyDescent="0.45">
      <c r="B34" s="80"/>
      <c r="C34" s="81" t="s">
        <v>162</v>
      </c>
      <c r="D34" s="82"/>
      <c r="E34" s="82"/>
      <c r="F34" s="24">
        <f>SUM(F27:F32)</f>
        <v>5576632.1223999998</v>
      </c>
      <c r="H34" s="80"/>
      <c r="I34" s="81" t="s">
        <v>162</v>
      </c>
      <c r="J34" s="82"/>
      <c r="K34" s="82"/>
      <c r="L34" s="24">
        <f>SUM(L27:L30)</f>
        <v>1680000</v>
      </c>
    </row>
    <row r="35" spans="2:12" ht="15.45" customHeight="1" x14ac:dyDescent="0.45">
      <c r="B35" s="80"/>
      <c r="C35" s="81" t="s">
        <v>169</v>
      </c>
      <c r="D35" s="82"/>
      <c r="E35" s="82"/>
      <c r="F35" s="24">
        <f>F24-F34</f>
        <v>-2802632.1224000002</v>
      </c>
      <c r="H35" s="80"/>
      <c r="I35" s="81" t="s">
        <v>169</v>
      </c>
      <c r="J35" s="82"/>
      <c r="K35" s="82"/>
      <c r="L35" s="24">
        <f>L24-L34</f>
        <v>2757619</v>
      </c>
    </row>
    <row r="36" spans="2:12" ht="15.45" customHeight="1" x14ac:dyDescent="0.45"/>
  </sheetData>
  <mergeCells count="2">
    <mergeCell ref="B2:F2"/>
    <mergeCell ref="H2:L2"/>
  </mergeCells>
  <phoneticPr fontId="2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J14"/>
  <sheetViews>
    <sheetView workbookViewId="0">
      <selection activeCell="H28" sqref="H28"/>
    </sheetView>
  </sheetViews>
  <sheetFormatPr defaultColWidth="9" defaultRowHeight="14" x14ac:dyDescent="0.45"/>
  <cols>
    <col min="2" max="7" width="22.703125" customWidth="1"/>
  </cols>
  <sheetData>
    <row r="2" spans="2:10" ht="43.7" customHeight="1" x14ac:dyDescent="0.45">
      <c r="B2" s="13" t="s">
        <v>170</v>
      </c>
      <c r="C2" s="13" t="s">
        <v>171</v>
      </c>
      <c r="D2" s="13" t="s">
        <v>172</v>
      </c>
      <c r="E2" s="13" t="s">
        <v>173</v>
      </c>
      <c r="F2" s="13" t="s">
        <v>174</v>
      </c>
      <c r="G2" s="50" t="s">
        <v>175</v>
      </c>
    </row>
    <row r="3" spans="2:10" x14ac:dyDescent="0.45">
      <c r="B3" s="5">
        <v>12</v>
      </c>
      <c r="C3" s="9" t="s">
        <v>176</v>
      </c>
      <c r="D3" s="51">
        <v>300000</v>
      </c>
      <c r="E3" s="51">
        <v>89793</v>
      </c>
      <c r="F3" s="51">
        <v>387017</v>
      </c>
      <c r="G3" s="52">
        <f>F3-D3</f>
        <v>87017</v>
      </c>
    </row>
    <row r="7" spans="2:10" x14ac:dyDescent="0.45">
      <c r="B7" s="190" t="s">
        <v>177</v>
      </c>
      <c r="C7" s="191"/>
      <c r="D7" s="191"/>
      <c r="E7" s="191"/>
      <c r="F7" s="192"/>
    </row>
    <row r="8" spans="2:10" x14ac:dyDescent="0.45">
      <c r="B8" s="193" t="s">
        <v>178</v>
      </c>
      <c r="C8" s="194"/>
      <c r="D8" s="194"/>
      <c r="E8" s="194"/>
      <c r="F8" s="195"/>
    </row>
    <row r="9" spans="2:10" x14ac:dyDescent="0.45">
      <c r="B9" s="53"/>
      <c r="C9" s="54" t="s">
        <v>123</v>
      </c>
      <c r="D9" s="54" t="s">
        <v>124</v>
      </c>
      <c r="E9" s="54" t="s">
        <v>179</v>
      </c>
      <c r="F9" s="54" t="s">
        <v>180</v>
      </c>
      <c r="H9" s="55" t="s">
        <v>126</v>
      </c>
      <c r="I9" s="55" t="s">
        <v>124</v>
      </c>
      <c r="J9" s="55" t="s">
        <v>123</v>
      </c>
    </row>
    <row r="10" spans="2:10" ht="15.35" x14ac:dyDescent="0.45">
      <c r="B10" s="22" t="s">
        <v>181</v>
      </c>
      <c r="C10" s="56">
        <v>12</v>
      </c>
      <c r="D10" s="57">
        <v>0.05</v>
      </c>
      <c r="E10" s="58">
        <v>50000</v>
      </c>
      <c r="F10" s="58">
        <v>89792</v>
      </c>
      <c r="H10">
        <v>4381</v>
      </c>
      <c r="I10" s="63">
        <v>0.08</v>
      </c>
      <c r="J10">
        <v>12</v>
      </c>
    </row>
    <row r="11" spans="2:10" ht="15.35" x14ac:dyDescent="0.45">
      <c r="B11" s="22" t="s">
        <v>182</v>
      </c>
      <c r="C11" s="56">
        <v>13</v>
      </c>
      <c r="D11" s="57">
        <v>0.05</v>
      </c>
      <c r="E11" s="58">
        <v>50000</v>
      </c>
      <c r="F11" s="58">
        <v>94282</v>
      </c>
      <c r="H11">
        <v>4061</v>
      </c>
      <c r="I11" s="63">
        <v>0.08</v>
      </c>
      <c r="J11">
        <v>13</v>
      </c>
    </row>
    <row r="12" spans="2:10" ht="15.35" x14ac:dyDescent="0.45">
      <c r="B12" s="22" t="s">
        <v>183</v>
      </c>
      <c r="C12" s="56">
        <v>14</v>
      </c>
      <c r="D12" s="57">
        <v>0.05</v>
      </c>
      <c r="E12" s="58">
        <v>50000</v>
      </c>
      <c r="F12" s="58">
        <v>98997</v>
      </c>
      <c r="H12">
        <v>3785</v>
      </c>
      <c r="I12" s="63">
        <v>0.08</v>
      </c>
      <c r="J12">
        <v>14</v>
      </c>
    </row>
    <row r="13" spans="2:10" ht="15.35" x14ac:dyDescent="0.45">
      <c r="B13" s="22" t="s">
        <v>184</v>
      </c>
      <c r="C13" s="56">
        <v>15</v>
      </c>
      <c r="D13" s="57">
        <v>0.05</v>
      </c>
      <c r="E13" s="58">
        <v>50000</v>
      </c>
      <c r="F13" s="58">
        <v>103946</v>
      </c>
      <c r="H13">
        <v>3545</v>
      </c>
      <c r="I13" s="63">
        <v>0.08</v>
      </c>
      <c r="J13">
        <v>15</v>
      </c>
    </row>
    <row r="14" spans="2:10" x14ac:dyDescent="0.45">
      <c r="B14" s="59"/>
      <c r="C14" s="60"/>
      <c r="D14" s="60"/>
      <c r="E14" s="61" t="s">
        <v>107</v>
      </c>
      <c r="F14" s="62">
        <f>SUM(F10:F13)</f>
        <v>387017</v>
      </c>
      <c r="H14">
        <f>SUM(H10:H13)</f>
        <v>15772</v>
      </c>
    </row>
  </sheetData>
  <mergeCells count="2">
    <mergeCell ref="B7:F7"/>
    <mergeCell ref="B8:F8"/>
  </mergeCells>
  <phoneticPr fontId="2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H41"/>
  <sheetViews>
    <sheetView topLeftCell="A2" workbookViewId="0">
      <selection activeCell="C25" sqref="C25"/>
    </sheetView>
  </sheetViews>
  <sheetFormatPr defaultColWidth="9" defaultRowHeight="14" x14ac:dyDescent="0.45"/>
  <cols>
    <col min="2" max="2" width="48.64453125" customWidth="1"/>
    <col min="3" max="4" width="15.64453125" customWidth="1"/>
    <col min="6" max="6" width="48.64453125" customWidth="1"/>
    <col min="7" max="8" width="15.64453125" customWidth="1"/>
  </cols>
  <sheetData>
    <row r="2" spans="2:8" ht="27.35" customHeight="1" x14ac:dyDescent="0.45">
      <c r="B2" s="187" t="s">
        <v>185</v>
      </c>
      <c r="C2" s="188"/>
      <c r="D2" s="189"/>
      <c r="F2" s="187" t="s">
        <v>185</v>
      </c>
      <c r="G2" s="188"/>
      <c r="H2" s="189"/>
    </row>
    <row r="3" spans="2:8" ht="15.45" customHeight="1" x14ac:dyDescent="0.45">
      <c r="B3" s="33"/>
      <c r="C3" s="4" t="s">
        <v>186</v>
      </c>
      <c r="D3" s="4" t="s">
        <v>187</v>
      </c>
      <c r="F3" s="33"/>
      <c r="G3" s="4" t="s">
        <v>186</v>
      </c>
      <c r="H3" s="4" t="s">
        <v>187</v>
      </c>
    </row>
    <row r="4" spans="2:8" ht="15.45" customHeight="1" x14ac:dyDescent="0.45">
      <c r="B4" s="33"/>
      <c r="C4" s="4" t="s">
        <v>67</v>
      </c>
      <c r="D4" s="4" t="s">
        <v>67</v>
      </c>
      <c r="F4" s="33"/>
      <c r="G4" s="4" t="s">
        <v>67</v>
      </c>
      <c r="H4" s="4" t="s">
        <v>67</v>
      </c>
    </row>
    <row r="5" spans="2:8" ht="15.45" customHeight="1" x14ac:dyDescent="0.45">
      <c r="B5" s="5" t="s">
        <v>188</v>
      </c>
      <c r="C5" s="10"/>
      <c r="D5" s="10"/>
      <c r="F5" s="5" t="s">
        <v>188</v>
      </c>
      <c r="G5" s="10"/>
      <c r="H5" s="10"/>
    </row>
    <row r="6" spans="2:8" ht="15.45" customHeight="1" x14ac:dyDescent="0.45">
      <c r="B6" s="5" t="s">
        <v>189</v>
      </c>
      <c r="C6" s="7">
        <v>54000</v>
      </c>
      <c r="D6" s="7">
        <v>54000</v>
      </c>
      <c r="F6" s="5" t="s">
        <v>189</v>
      </c>
      <c r="G6" s="7">
        <v>180000</v>
      </c>
      <c r="H6" s="7">
        <v>200000</v>
      </c>
    </row>
    <row r="7" spans="2:8" ht="15.45" customHeight="1" x14ac:dyDescent="0.45">
      <c r="B7" s="5" t="s">
        <v>190</v>
      </c>
      <c r="C7" s="7" t="s">
        <v>15</v>
      </c>
      <c r="D7" s="7" t="s">
        <v>15</v>
      </c>
      <c r="F7" s="5" t="s">
        <v>190</v>
      </c>
      <c r="G7" s="7" t="s">
        <v>15</v>
      </c>
      <c r="H7" s="7" t="s">
        <v>15</v>
      </c>
    </row>
    <row r="8" spans="2:8" ht="15.45" customHeight="1" x14ac:dyDescent="0.45">
      <c r="B8" s="2" t="s">
        <v>191</v>
      </c>
      <c r="C8" s="20">
        <f>SUM(C6:C7)</f>
        <v>54000</v>
      </c>
      <c r="D8" s="20">
        <f>SUM(D6:D7)</f>
        <v>54000</v>
      </c>
      <c r="F8" s="2" t="s">
        <v>191</v>
      </c>
      <c r="G8" s="20">
        <f>SUM(G6:G7)</f>
        <v>180000</v>
      </c>
      <c r="H8" s="20">
        <f>SUM(H6:H7)</f>
        <v>200000</v>
      </c>
    </row>
    <row r="9" spans="2:8" ht="15.45" customHeight="1" x14ac:dyDescent="0.45">
      <c r="B9" s="5"/>
      <c r="C9" s="10"/>
      <c r="D9" s="10"/>
      <c r="F9" s="5"/>
      <c r="G9" s="10"/>
      <c r="H9" s="10"/>
    </row>
    <row r="10" spans="2:8" ht="15.45" customHeight="1" x14ac:dyDescent="0.45">
      <c r="B10" s="5" t="s">
        <v>192</v>
      </c>
      <c r="C10" s="10" t="s">
        <v>15</v>
      </c>
      <c r="D10" s="7" t="s">
        <v>15</v>
      </c>
      <c r="F10" s="5" t="s">
        <v>192</v>
      </c>
      <c r="G10" s="10" t="s">
        <v>15</v>
      </c>
      <c r="H10" s="7" t="s">
        <v>15</v>
      </c>
    </row>
    <row r="11" spans="2:8" ht="15.45" customHeight="1" x14ac:dyDescent="0.45">
      <c r="B11" s="5"/>
      <c r="C11" s="10"/>
      <c r="D11" s="10"/>
      <c r="F11" s="5"/>
      <c r="G11" s="10"/>
      <c r="H11" s="10"/>
    </row>
    <row r="12" spans="2:8" ht="15.45" customHeight="1" x14ac:dyDescent="0.45">
      <c r="B12" s="2" t="s">
        <v>193</v>
      </c>
      <c r="C12" s="20">
        <f>SUM(C8)</f>
        <v>54000</v>
      </c>
      <c r="D12" s="20">
        <f>SUM(D8)</f>
        <v>54000</v>
      </c>
      <c r="F12" s="2" t="s">
        <v>193</v>
      </c>
      <c r="G12" s="20">
        <f>SUM(G8)</f>
        <v>180000</v>
      </c>
      <c r="H12" s="20">
        <f>SUM(H8)</f>
        <v>200000</v>
      </c>
    </row>
    <row r="13" spans="2:8" ht="15.45" customHeight="1" x14ac:dyDescent="0.45">
      <c r="B13" s="5"/>
      <c r="C13" s="10"/>
      <c r="D13" s="10"/>
      <c r="F13" s="5"/>
      <c r="G13" s="10"/>
      <c r="H13" s="10"/>
    </row>
    <row r="14" spans="2:8" ht="15.45" customHeight="1" x14ac:dyDescent="0.45">
      <c r="B14" s="5" t="s">
        <v>194</v>
      </c>
      <c r="C14" s="10"/>
      <c r="D14" s="10"/>
      <c r="F14" s="5" t="s">
        <v>194</v>
      </c>
      <c r="G14" s="10"/>
      <c r="H14" s="10"/>
    </row>
    <row r="15" spans="2:8" ht="15.45" customHeight="1" x14ac:dyDescent="0.45">
      <c r="B15" s="5" t="s">
        <v>195</v>
      </c>
      <c r="C15" s="7">
        <v>9000</v>
      </c>
      <c r="D15" s="7">
        <v>9000</v>
      </c>
      <c r="F15" s="5" t="s">
        <v>195</v>
      </c>
      <c r="G15" s="7">
        <v>9000</v>
      </c>
      <c r="H15" s="7">
        <v>9000</v>
      </c>
    </row>
    <row r="16" spans="2:8" ht="15.45" customHeight="1" x14ac:dyDescent="0.45">
      <c r="B16" s="5" t="s">
        <v>196</v>
      </c>
      <c r="C16" s="7" t="s">
        <v>15</v>
      </c>
      <c r="D16" s="7" t="s">
        <v>15</v>
      </c>
      <c r="F16" s="5" t="s">
        <v>196</v>
      </c>
      <c r="G16" s="7" t="s">
        <v>15</v>
      </c>
      <c r="H16" s="7" t="s">
        <v>15</v>
      </c>
    </row>
    <row r="17" spans="2:8" ht="15.45" customHeight="1" x14ac:dyDescent="0.45">
      <c r="B17" s="5" t="s">
        <v>197</v>
      </c>
      <c r="C17" s="7" t="s">
        <v>15</v>
      </c>
      <c r="D17" s="7" t="s">
        <v>15</v>
      </c>
      <c r="F17" s="5" t="s">
        <v>197</v>
      </c>
      <c r="G17" s="7" t="s">
        <v>15</v>
      </c>
      <c r="H17" s="7" t="s">
        <v>15</v>
      </c>
    </row>
    <row r="18" spans="2:8" ht="15.45" customHeight="1" x14ac:dyDescent="0.45">
      <c r="B18" s="5" t="s">
        <v>198</v>
      </c>
      <c r="C18" s="7" t="s">
        <v>15</v>
      </c>
      <c r="D18" s="7" t="s">
        <v>15</v>
      </c>
      <c r="F18" s="5" t="s">
        <v>198</v>
      </c>
      <c r="G18" s="7" t="s">
        <v>15</v>
      </c>
      <c r="H18" s="7" t="s">
        <v>15</v>
      </c>
    </row>
    <row r="19" spans="2:8" ht="15.45" customHeight="1" x14ac:dyDescent="0.45">
      <c r="B19" s="5" t="s">
        <v>199</v>
      </c>
      <c r="C19" s="7">
        <v>5000</v>
      </c>
      <c r="D19" s="7">
        <v>5000</v>
      </c>
      <c r="F19" s="5" t="s">
        <v>199</v>
      </c>
      <c r="G19" s="7">
        <v>5000</v>
      </c>
      <c r="H19" s="7">
        <v>5000</v>
      </c>
    </row>
    <row r="20" spans="2:8" ht="15.45" customHeight="1" x14ac:dyDescent="0.45">
      <c r="B20" s="5" t="s">
        <v>200</v>
      </c>
      <c r="C20" s="7" t="s">
        <v>15</v>
      </c>
      <c r="D20" s="7" t="s">
        <v>15</v>
      </c>
      <c r="F20" s="5" t="s">
        <v>200</v>
      </c>
      <c r="G20" s="7" t="s">
        <v>15</v>
      </c>
      <c r="H20" s="7">
        <v>3000</v>
      </c>
    </row>
    <row r="21" spans="2:8" ht="15.45" customHeight="1" x14ac:dyDescent="0.45">
      <c r="B21" s="5" t="s">
        <v>201</v>
      </c>
      <c r="C21" s="7" t="s">
        <v>15</v>
      </c>
      <c r="D21" s="7" t="s">
        <v>15</v>
      </c>
      <c r="F21" s="5" t="s">
        <v>201</v>
      </c>
      <c r="G21" s="7">
        <v>8000</v>
      </c>
      <c r="H21" s="7">
        <v>8000</v>
      </c>
    </row>
    <row r="22" spans="2:8" ht="15.45" customHeight="1" x14ac:dyDescent="0.45">
      <c r="B22" s="5" t="s">
        <v>110</v>
      </c>
      <c r="C22" s="7">
        <v>3000</v>
      </c>
      <c r="D22" s="7">
        <v>3000</v>
      </c>
      <c r="F22" s="5" t="s">
        <v>110</v>
      </c>
      <c r="G22" s="7">
        <v>3000</v>
      </c>
      <c r="H22" s="7">
        <v>3000</v>
      </c>
    </row>
    <row r="23" spans="2:8" ht="15.45" customHeight="1" x14ac:dyDescent="0.45">
      <c r="B23" s="5" t="s">
        <v>202</v>
      </c>
      <c r="C23" s="7">
        <v>7000</v>
      </c>
      <c r="D23" s="7">
        <v>7000</v>
      </c>
      <c r="F23" s="5" t="s">
        <v>202</v>
      </c>
      <c r="G23" s="7">
        <v>7000</v>
      </c>
      <c r="H23" s="7">
        <v>7000</v>
      </c>
    </row>
    <row r="24" spans="2:8" ht="15.45" customHeight="1" x14ac:dyDescent="0.45">
      <c r="B24" s="5" t="s">
        <v>168</v>
      </c>
      <c r="C24" s="7">
        <v>3000</v>
      </c>
      <c r="D24" s="7">
        <v>3000</v>
      </c>
      <c r="F24" s="5" t="s">
        <v>168</v>
      </c>
      <c r="G24" s="7">
        <v>3000</v>
      </c>
      <c r="H24" s="7">
        <v>3000</v>
      </c>
    </row>
    <row r="25" spans="2:8" ht="15.45" customHeight="1" x14ac:dyDescent="0.45">
      <c r="B25" s="5" t="s">
        <v>203</v>
      </c>
      <c r="C25" s="7">
        <v>3000</v>
      </c>
      <c r="D25" s="7">
        <v>3000</v>
      </c>
      <c r="F25" s="5" t="s">
        <v>203</v>
      </c>
      <c r="G25" s="7">
        <v>3000</v>
      </c>
      <c r="H25" s="7">
        <v>3000</v>
      </c>
    </row>
    <row r="26" spans="2:8" ht="15.45" customHeight="1" x14ac:dyDescent="0.45">
      <c r="B26" s="5" t="s">
        <v>204</v>
      </c>
      <c r="C26" s="10">
        <v>350</v>
      </c>
      <c r="D26" s="10">
        <v>350</v>
      </c>
      <c r="F26" s="5" t="s">
        <v>204</v>
      </c>
      <c r="G26" s="10">
        <v>350</v>
      </c>
      <c r="H26" s="10">
        <v>350</v>
      </c>
    </row>
    <row r="27" spans="2:8" ht="15.45" customHeight="1" x14ac:dyDescent="0.45">
      <c r="B27" s="5" t="s">
        <v>205</v>
      </c>
      <c r="C27" s="10">
        <v>500</v>
      </c>
      <c r="D27" s="10">
        <v>500</v>
      </c>
      <c r="F27" s="5" t="s">
        <v>205</v>
      </c>
      <c r="G27" s="10">
        <v>500</v>
      </c>
      <c r="H27" s="10">
        <v>500</v>
      </c>
    </row>
    <row r="28" spans="2:8" ht="15.45" customHeight="1" x14ac:dyDescent="0.45">
      <c r="B28" s="5" t="s">
        <v>206</v>
      </c>
      <c r="C28" s="7" t="s">
        <v>15</v>
      </c>
      <c r="D28" s="7" t="s">
        <v>15</v>
      </c>
      <c r="F28" s="5" t="s">
        <v>206</v>
      </c>
      <c r="G28" s="7">
        <v>2500</v>
      </c>
      <c r="H28" s="7">
        <v>2500</v>
      </c>
    </row>
    <row r="29" spans="2:8" ht="15.45" customHeight="1" x14ac:dyDescent="0.45">
      <c r="B29" s="5" t="s">
        <v>207</v>
      </c>
      <c r="C29" s="7" t="s">
        <v>15</v>
      </c>
      <c r="D29" s="7" t="s">
        <v>15</v>
      </c>
      <c r="F29" s="5" t="s">
        <v>207</v>
      </c>
      <c r="G29" s="7">
        <v>2000</v>
      </c>
      <c r="H29" s="7" t="s">
        <v>15</v>
      </c>
    </row>
    <row r="30" spans="2:8" ht="15.45" customHeight="1" x14ac:dyDescent="0.45">
      <c r="B30" s="5" t="s">
        <v>208</v>
      </c>
      <c r="C30" s="7" t="s">
        <v>15</v>
      </c>
      <c r="D30" s="10" t="s">
        <v>15</v>
      </c>
      <c r="F30" s="5" t="s">
        <v>208</v>
      </c>
      <c r="G30" s="7" t="s">
        <v>15</v>
      </c>
      <c r="H30" s="10" t="s">
        <v>15</v>
      </c>
    </row>
    <row r="31" spans="2:8" ht="15.45" customHeight="1" x14ac:dyDescent="0.45">
      <c r="B31" s="5" t="s">
        <v>209</v>
      </c>
      <c r="C31" s="10">
        <v>1000</v>
      </c>
      <c r="D31" s="10">
        <v>1000</v>
      </c>
      <c r="F31" s="5" t="s">
        <v>209</v>
      </c>
      <c r="G31" s="10">
        <v>1000</v>
      </c>
      <c r="H31" s="10">
        <v>1000</v>
      </c>
    </row>
    <row r="32" spans="2:8" ht="15.45" customHeight="1" x14ac:dyDescent="0.45">
      <c r="B32" s="5"/>
      <c r="C32" s="10"/>
      <c r="D32" s="10"/>
      <c r="F32" s="5"/>
      <c r="G32" s="10"/>
      <c r="H32" s="10"/>
    </row>
    <row r="33" spans="2:8" ht="15.45" customHeight="1" x14ac:dyDescent="0.45">
      <c r="B33" s="2" t="s">
        <v>210</v>
      </c>
      <c r="C33" s="20">
        <f>SUM(C15:C31)</f>
        <v>31850</v>
      </c>
      <c r="D33" s="20">
        <f>SUM(D15:D31)</f>
        <v>31850</v>
      </c>
      <c r="F33" s="2" t="s">
        <v>210</v>
      </c>
      <c r="G33" s="20">
        <f>SUM(G15:G31)</f>
        <v>44350</v>
      </c>
      <c r="H33" s="20">
        <f>SUM(H15:H31)</f>
        <v>45350</v>
      </c>
    </row>
    <row r="34" spans="2:8" ht="15.45" customHeight="1" x14ac:dyDescent="0.45">
      <c r="B34" s="2" t="s">
        <v>211</v>
      </c>
      <c r="C34" s="20">
        <f>C12-C33</f>
        <v>22150</v>
      </c>
      <c r="D34" s="20">
        <f>D12-D33</f>
        <v>22150</v>
      </c>
      <c r="F34" s="2" t="s">
        <v>211</v>
      </c>
      <c r="G34" s="20">
        <f>G12-G33</f>
        <v>135650</v>
      </c>
      <c r="H34" s="20">
        <f>H12-H33</f>
        <v>154650</v>
      </c>
    </row>
    <row r="35" spans="2:8" ht="15.45" customHeight="1" x14ac:dyDescent="0.45">
      <c r="B35" s="5"/>
      <c r="C35" s="10"/>
      <c r="D35" s="10"/>
      <c r="F35" s="5"/>
      <c r="G35" s="10"/>
      <c r="H35" s="10"/>
    </row>
    <row r="36" spans="2:8" ht="15.45" customHeight="1" x14ac:dyDescent="0.45">
      <c r="B36" s="22" t="s">
        <v>212</v>
      </c>
      <c r="C36" s="10"/>
      <c r="D36" s="10"/>
      <c r="F36" s="22" t="s">
        <v>212</v>
      </c>
      <c r="G36" s="10"/>
      <c r="H36" s="10"/>
    </row>
    <row r="37" spans="2:8" ht="15.45" customHeight="1" x14ac:dyDescent="0.45">
      <c r="B37" s="5" t="s">
        <v>213</v>
      </c>
      <c r="C37" s="7">
        <v>150</v>
      </c>
      <c r="D37" s="7">
        <v>150</v>
      </c>
      <c r="F37" s="5" t="s">
        <v>214</v>
      </c>
      <c r="G37" s="7">
        <v>9400</v>
      </c>
      <c r="H37" s="7">
        <v>9400</v>
      </c>
    </row>
    <row r="38" spans="2:8" ht="15.45" customHeight="1" x14ac:dyDescent="0.45">
      <c r="B38" s="5" t="s">
        <v>215</v>
      </c>
      <c r="C38" s="7">
        <f>(C34-20000)*0.03</f>
        <v>64.5</v>
      </c>
      <c r="D38" s="7">
        <f>(D34-20000)*0.03</f>
        <v>64.5</v>
      </c>
      <c r="F38" s="5" t="s">
        <v>216</v>
      </c>
      <c r="G38" s="7">
        <f>(G34-100000)*0.25</f>
        <v>8912.5</v>
      </c>
      <c r="H38" s="10"/>
    </row>
    <row r="39" spans="2:8" ht="15.45" customHeight="1" x14ac:dyDescent="0.45">
      <c r="B39" s="5"/>
      <c r="C39" s="10"/>
      <c r="D39" s="7"/>
      <c r="F39" s="5" t="s">
        <v>217</v>
      </c>
      <c r="G39" s="10"/>
      <c r="H39" s="7">
        <f>(H34-100000)*0.254</f>
        <v>13881.1</v>
      </c>
    </row>
    <row r="40" spans="2:8" ht="15.45" customHeight="1" x14ac:dyDescent="0.45">
      <c r="B40" s="2" t="s">
        <v>218</v>
      </c>
      <c r="C40" s="20">
        <f>SUM(C37:C39)</f>
        <v>214.5</v>
      </c>
      <c r="D40" s="20">
        <f>SUM(D37:D39)</f>
        <v>214.5</v>
      </c>
      <c r="F40" s="2" t="s">
        <v>218</v>
      </c>
      <c r="G40" s="20">
        <f>SUM(G37:G39)</f>
        <v>18312.5</v>
      </c>
      <c r="H40" s="20">
        <f>SUM(H37:H39)</f>
        <v>23281.1</v>
      </c>
    </row>
    <row r="41" spans="2:8" ht="15.45" customHeight="1" x14ac:dyDescent="0.45">
      <c r="B41" s="2" t="s">
        <v>219</v>
      </c>
      <c r="C41" s="49"/>
      <c r="D41" s="20">
        <f>SUM(C40:D40)</f>
        <v>429</v>
      </c>
      <c r="F41" s="2" t="s">
        <v>219</v>
      </c>
      <c r="G41" s="49"/>
      <c r="H41" s="20">
        <f>SUM(G40:H40)</f>
        <v>41593.599999999999</v>
      </c>
    </row>
  </sheetData>
  <mergeCells count="2">
    <mergeCell ref="B2:D2"/>
    <mergeCell ref="F2:H2"/>
  </mergeCells>
  <phoneticPr fontId="2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T48"/>
  <sheetViews>
    <sheetView topLeftCell="C4" zoomScale="73" workbookViewId="0">
      <selection activeCell="G34" sqref="G34"/>
    </sheetView>
  </sheetViews>
  <sheetFormatPr defaultColWidth="9" defaultRowHeight="14" x14ac:dyDescent="0.45"/>
  <cols>
    <col min="2" max="2" width="66.1171875" customWidth="1"/>
    <col min="3" max="4" width="15.3515625" customWidth="1"/>
    <col min="6" max="6" width="4.17578125" customWidth="1"/>
    <col min="7" max="7" width="36" customWidth="1"/>
    <col min="9" max="12" width="21.9375" customWidth="1"/>
    <col min="13" max="13" width="24.1171875"/>
    <col min="14" max="14" width="4.17578125" customWidth="1"/>
    <col min="15" max="15" width="36" customWidth="1"/>
    <col min="17" max="20" width="21.9375" customWidth="1"/>
  </cols>
  <sheetData>
    <row r="2" spans="2:20" ht="27.35" x14ac:dyDescent="0.45">
      <c r="G2" s="196" t="s">
        <v>220</v>
      </c>
      <c r="H2" s="196"/>
      <c r="I2" s="28" t="s">
        <v>221</v>
      </c>
      <c r="J2" s="28" t="s">
        <v>222</v>
      </c>
      <c r="K2" s="28" t="s">
        <v>223</v>
      </c>
      <c r="L2" s="28" t="s">
        <v>224</v>
      </c>
      <c r="O2" s="196" t="s">
        <v>220</v>
      </c>
      <c r="P2" s="196"/>
      <c r="Q2" s="28" t="s">
        <v>221</v>
      </c>
      <c r="R2" s="28" t="s">
        <v>222</v>
      </c>
      <c r="S2" s="28" t="s">
        <v>223</v>
      </c>
      <c r="T2" s="28" t="s">
        <v>224</v>
      </c>
    </row>
    <row r="3" spans="2:20" x14ac:dyDescent="0.45">
      <c r="G3" s="197">
        <f>L29</f>
        <v>4079962.01813321</v>
      </c>
      <c r="H3" s="197"/>
      <c r="I3" s="41">
        <f>L43</f>
        <v>21491520.288676061</v>
      </c>
      <c r="J3" s="41">
        <f>L44</f>
        <v>-17411558.270542853</v>
      </c>
      <c r="K3" s="42">
        <v>8</v>
      </c>
      <c r="L3" s="41">
        <f>L46</f>
        <v>-2748067.1215561251</v>
      </c>
      <c r="O3" s="197">
        <f>T29</f>
        <v>10035768</v>
      </c>
      <c r="P3" s="197"/>
      <c r="Q3" s="41">
        <f>T43</f>
        <v>10056510</v>
      </c>
      <c r="R3" s="41">
        <f>T44</f>
        <v>-20742</v>
      </c>
      <c r="S3" s="42">
        <v>8</v>
      </c>
      <c r="T3" s="41">
        <f>T46</f>
        <v>513</v>
      </c>
    </row>
    <row r="5" spans="2:20" ht="48.7" customHeight="1" x14ac:dyDescent="0.45">
      <c r="B5" s="29"/>
      <c r="C5" s="30" t="s">
        <v>5</v>
      </c>
      <c r="D5" s="30" t="s">
        <v>6</v>
      </c>
      <c r="F5" s="198" t="s">
        <v>225</v>
      </c>
      <c r="G5" s="199"/>
      <c r="H5" s="199"/>
      <c r="I5" s="199"/>
      <c r="J5" s="199"/>
      <c r="K5" s="199"/>
      <c r="L5" s="200"/>
      <c r="N5" s="198" t="s">
        <v>226</v>
      </c>
      <c r="O5" s="199"/>
      <c r="P5" s="199"/>
      <c r="Q5" s="199"/>
      <c r="R5" s="199"/>
      <c r="S5" s="199"/>
      <c r="T5" s="200"/>
    </row>
    <row r="6" spans="2:20" ht="18" customHeight="1" x14ac:dyDescent="0.45">
      <c r="B6" s="31" t="s">
        <v>227</v>
      </c>
      <c r="C6" s="32">
        <v>54000</v>
      </c>
      <c r="D6" s="32">
        <v>54000</v>
      </c>
      <c r="F6" s="33"/>
      <c r="G6" s="34"/>
      <c r="H6" s="4" t="s">
        <v>143</v>
      </c>
      <c r="I6" s="4" t="s">
        <v>228</v>
      </c>
      <c r="J6" s="4" t="s">
        <v>229</v>
      </c>
      <c r="K6" s="4" t="s">
        <v>230</v>
      </c>
      <c r="L6" s="4" t="s">
        <v>231</v>
      </c>
      <c r="N6" s="33"/>
      <c r="O6" s="34"/>
      <c r="P6" s="4" t="s">
        <v>143</v>
      </c>
      <c r="Q6" s="4" t="s">
        <v>228</v>
      </c>
      <c r="R6" s="4" t="s">
        <v>229</v>
      </c>
      <c r="S6" s="4" t="s">
        <v>230</v>
      </c>
      <c r="T6" s="4" t="s">
        <v>231</v>
      </c>
    </row>
    <row r="7" spans="2:20" ht="18" customHeight="1" x14ac:dyDescent="0.45">
      <c r="B7" s="31" t="s">
        <v>228</v>
      </c>
      <c r="C7" s="35">
        <v>55</v>
      </c>
      <c r="D7" s="35">
        <v>55</v>
      </c>
      <c r="F7" s="5"/>
      <c r="G7" s="9" t="s">
        <v>5</v>
      </c>
      <c r="H7" s="11">
        <v>50</v>
      </c>
      <c r="I7" s="11">
        <v>55</v>
      </c>
      <c r="J7" s="11">
        <f>I7-H7</f>
        <v>5</v>
      </c>
      <c r="K7" s="11">
        <v>90</v>
      </c>
      <c r="L7" s="11">
        <f>K7-I7</f>
        <v>35</v>
      </c>
      <c r="N7" s="5"/>
      <c r="O7" s="9" t="s">
        <v>232</v>
      </c>
      <c r="P7" s="11">
        <v>37</v>
      </c>
      <c r="Q7" s="11">
        <v>55</v>
      </c>
      <c r="R7" s="11">
        <v>18</v>
      </c>
      <c r="S7" s="11">
        <v>75</v>
      </c>
      <c r="T7" s="11">
        <v>20</v>
      </c>
    </row>
    <row r="8" spans="2:20" ht="18" customHeight="1" x14ac:dyDescent="0.45">
      <c r="B8" s="31" t="s">
        <v>233</v>
      </c>
      <c r="C8" s="35">
        <v>50</v>
      </c>
      <c r="D8" s="35">
        <v>50</v>
      </c>
      <c r="F8" s="5"/>
      <c r="G8" s="9" t="s">
        <v>6</v>
      </c>
      <c r="H8" s="11">
        <v>50</v>
      </c>
      <c r="I8" s="11">
        <v>55</v>
      </c>
      <c r="J8" s="11">
        <f>I8-H8</f>
        <v>5</v>
      </c>
      <c r="K8" s="11">
        <v>90</v>
      </c>
      <c r="L8" s="11">
        <f>K8-I8</f>
        <v>35</v>
      </c>
      <c r="N8" s="5"/>
      <c r="O8" s="9" t="s">
        <v>234</v>
      </c>
      <c r="P8" s="11">
        <v>37</v>
      </c>
      <c r="Q8" s="11">
        <v>55</v>
      </c>
      <c r="R8" s="11">
        <v>18</v>
      </c>
      <c r="S8" s="11">
        <v>75</v>
      </c>
      <c r="T8" s="11">
        <v>20</v>
      </c>
    </row>
    <row r="9" spans="2:20" ht="18" customHeight="1" x14ac:dyDescent="0.45">
      <c r="B9" s="31" t="s">
        <v>229</v>
      </c>
      <c r="C9" s="35">
        <v>5</v>
      </c>
      <c r="D9" s="35">
        <v>5</v>
      </c>
      <c r="F9" s="33"/>
      <c r="G9" s="34"/>
      <c r="H9" s="4" t="s">
        <v>8</v>
      </c>
      <c r="I9" s="4" t="s">
        <v>235</v>
      </c>
      <c r="J9" s="4" t="s">
        <v>236</v>
      </c>
      <c r="K9" s="4" t="s">
        <v>66</v>
      </c>
      <c r="L9" s="4" t="s">
        <v>237</v>
      </c>
      <c r="N9" s="33"/>
      <c r="O9" s="34"/>
      <c r="P9" s="4" t="s">
        <v>8</v>
      </c>
      <c r="Q9" s="4" t="s">
        <v>235</v>
      </c>
      <c r="R9" s="4" t="s">
        <v>236</v>
      </c>
      <c r="S9" s="4" t="s">
        <v>66</v>
      </c>
      <c r="T9" s="4" t="s">
        <v>237</v>
      </c>
    </row>
    <row r="10" spans="2:20" ht="18" customHeight="1" x14ac:dyDescent="0.45">
      <c r="B10" s="31" t="s">
        <v>238</v>
      </c>
      <c r="C10" s="36">
        <v>0.05</v>
      </c>
      <c r="D10" s="36">
        <v>0.05</v>
      </c>
      <c r="F10" s="5" t="s">
        <v>239</v>
      </c>
      <c r="G10" s="9" t="s">
        <v>240</v>
      </c>
      <c r="H10" s="7">
        <v>4500</v>
      </c>
      <c r="I10" s="11">
        <v>12</v>
      </c>
      <c r="J10" s="7">
        <f>H10*I10</f>
        <v>54000</v>
      </c>
      <c r="K10" s="11"/>
      <c r="L10" s="11"/>
      <c r="N10" s="5" t="s">
        <v>239</v>
      </c>
      <c r="O10" s="9" t="s">
        <v>241</v>
      </c>
      <c r="P10" s="7">
        <v>15000</v>
      </c>
      <c r="Q10" s="11">
        <v>12</v>
      </c>
      <c r="R10" s="7">
        <v>180000</v>
      </c>
      <c r="S10" s="11"/>
      <c r="T10" s="11"/>
    </row>
    <row r="11" spans="2:20" ht="18" customHeight="1" x14ac:dyDescent="0.45">
      <c r="B11" s="31" t="s">
        <v>242</v>
      </c>
      <c r="C11" s="32">
        <v>433191</v>
      </c>
      <c r="D11" s="32">
        <v>481324</v>
      </c>
      <c r="F11" s="5" t="s">
        <v>239</v>
      </c>
      <c r="G11" s="201" t="s">
        <v>243</v>
      </c>
      <c r="H11" s="202"/>
      <c r="I11" s="202"/>
      <c r="J11" s="203"/>
      <c r="K11" s="11">
        <v>100</v>
      </c>
      <c r="L11" s="7">
        <f>J10</f>
        <v>54000</v>
      </c>
      <c r="N11" s="5" t="s">
        <v>239</v>
      </c>
      <c r="O11" s="201" t="s">
        <v>243</v>
      </c>
      <c r="P11" s="202"/>
      <c r="Q11" s="202"/>
      <c r="R11" s="203"/>
      <c r="S11" s="11">
        <v>100</v>
      </c>
      <c r="T11" s="7">
        <v>180000</v>
      </c>
    </row>
    <row r="12" spans="2:20" ht="18" customHeight="1" x14ac:dyDescent="0.45">
      <c r="B12" s="31" t="s">
        <v>244</v>
      </c>
      <c r="C12" s="35">
        <v>25</v>
      </c>
      <c r="D12" s="35">
        <v>25</v>
      </c>
      <c r="F12" s="5" t="s">
        <v>245</v>
      </c>
      <c r="G12" s="9" t="s">
        <v>246</v>
      </c>
      <c r="H12" s="7">
        <v>4500</v>
      </c>
      <c r="I12" s="11">
        <v>12</v>
      </c>
      <c r="J12" s="7">
        <f>H12*I12</f>
        <v>54000</v>
      </c>
      <c r="K12" s="11"/>
      <c r="L12" s="10"/>
      <c r="N12" s="5" t="s">
        <v>245</v>
      </c>
      <c r="O12" s="9" t="s">
        <v>247</v>
      </c>
      <c r="P12" s="7">
        <v>16667</v>
      </c>
      <c r="Q12" s="11">
        <v>12</v>
      </c>
      <c r="R12" s="7">
        <v>200000</v>
      </c>
      <c r="S12" s="11"/>
      <c r="T12" s="10"/>
    </row>
    <row r="13" spans="2:20" ht="18" customHeight="1" x14ac:dyDescent="0.45">
      <c r="B13" s="31" t="s">
        <v>248</v>
      </c>
      <c r="C13" s="36">
        <v>0.05</v>
      </c>
      <c r="D13" s="36">
        <v>0.05</v>
      </c>
      <c r="F13" s="5" t="s">
        <v>245</v>
      </c>
      <c r="G13" s="201" t="s">
        <v>249</v>
      </c>
      <c r="H13" s="202"/>
      <c r="I13" s="202"/>
      <c r="J13" s="203"/>
      <c r="K13" s="11">
        <v>100</v>
      </c>
      <c r="L13" s="7">
        <f>J12</f>
        <v>54000</v>
      </c>
      <c r="N13" s="5" t="s">
        <v>245</v>
      </c>
      <c r="O13" s="201" t="s">
        <v>249</v>
      </c>
      <c r="P13" s="202"/>
      <c r="Q13" s="202"/>
      <c r="R13" s="203"/>
      <c r="S13" s="11">
        <v>100</v>
      </c>
      <c r="T13" s="7">
        <v>200000</v>
      </c>
    </row>
    <row r="14" spans="2:20" ht="18" customHeight="1" x14ac:dyDescent="0.45">
      <c r="B14" s="31" t="s">
        <v>157</v>
      </c>
      <c r="C14" s="36">
        <v>0.04</v>
      </c>
      <c r="D14" s="36">
        <v>0.04</v>
      </c>
      <c r="F14" s="5"/>
      <c r="G14" s="201" t="s">
        <v>250</v>
      </c>
      <c r="H14" s="202"/>
      <c r="I14" s="202"/>
      <c r="J14" s="203"/>
      <c r="K14" s="11">
        <v>5</v>
      </c>
      <c r="L14" s="11"/>
      <c r="N14" s="5"/>
      <c r="O14" s="201" t="s">
        <v>250</v>
      </c>
      <c r="P14" s="202"/>
      <c r="Q14" s="202"/>
      <c r="R14" s="203"/>
      <c r="S14" s="11">
        <v>5</v>
      </c>
      <c r="T14" s="11"/>
    </row>
    <row r="15" spans="2:20" ht="18" customHeight="1" x14ac:dyDescent="0.45">
      <c r="B15" s="31" t="s">
        <v>251</v>
      </c>
      <c r="C15" s="37">
        <f>(0.05-0.04)/1.04</f>
        <v>9.6153846153846194E-3</v>
      </c>
      <c r="D15" s="37">
        <f>(0.05-0.04)/1.04</f>
        <v>9.6153846153846194E-3</v>
      </c>
      <c r="F15" s="5"/>
      <c r="G15" s="201" t="s">
        <v>157</v>
      </c>
      <c r="H15" s="202"/>
      <c r="I15" s="202"/>
      <c r="J15" s="203"/>
      <c r="K15" s="11">
        <v>4</v>
      </c>
      <c r="L15" s="11"/>
      <c r="N15" s="5"/>
      <c r="O15" s="201" t="s">
        <v>157</v>
      </c>
      <c r="P15" s="202"/>
      <c r="Q15" s="202"/>
      <c r="R15" s="203"/>
      <c r="S15" s="11">
        <v>4</v>
      </c>
      <c r="T15" s="11"/>
    </row>
    <row r="16" spans="2:20" ht="18" customHeight="1" x14ac:dyDescent="0.45">
      <c r="B16" s="31" t="s">
        <v>252</v>
      </c>
      <c r="C16" s="38">
        <v>7924093</v>
      </c>
      <c r="D16" s="38">
        <v>8804541</v>
      </c>
      <c r="F16" s="5"/>
      <c r="G16" s="201" t="s">
        <v>253</v>
      </c>
      <c r="H16" s="202"/>
      <c r="I16" s="202"/>
      <c r="J16" s="203"/>
      <c r="K16" s="11">
        <v>5</v>
      </c>
      <c r="L16" s="11"/>
      <c r="N16" s="5"/>
      <c r="O16" s="201" t="s">
        <v>253</v>
      </c>
      <c r="P16" s="202"/>
      <c r="Q16" s="202"/>
      <c r="R16" s="203"/>
      <c r="S16" s="11">
        <v>5</v>
      </c>
      <c r="T16" s="11"/>
    </row>
    <row r="17" spans="2:20" ht="18" customHeight="1" x14ac:dyDescent="0.45">
      <c r="B17" s="31" t="s">
        <v>254</v>
      </c>
      <c r="C17" s="39"/>
      <c r="D17" s="38">
        <f>SUM(C16:D16)</f>
        <v>16728634</v>
      </c>
      <c r="F17" s="5"/>
      <c r="G17" s="201" t="s">
        <v>255</v>
      </c>
      <c r="H17" s="202"/>
      <c r="I17" s="202"/>
      <c r="J17" s="203"/>
      <c r="K17" s="11">
        <v>8</v>
      </c>
      <c r="L17" s="11"/>
      <c r="N17" s="5"/>
      <c r="O17" s="201" t="s">
        <v>255</v>
      </c>
      <c r="P17" s="202"/>
      <c r="Q17" s="202"/>
      <c r="R17" s="203"/>
      <c r="S17" s="11">
        <v>8</v>
      </c>
      <c r="T17" s="11"/>
    </row>
    <row r="18" spans="2:20" x14ac:dyDescent="0.45">
      <c r="F18" s="5"/>
      <c r="G18" s="201" t="s">
        <v>256</v>
      </c>
      <c r="H18" s="202"/>
      <c r="I18" s="202"/>
      <c r="J18" s="203"/>
      <c r="K18" s="11">
        <v>8</v>
      </c>
      <c r="L18" s="11"/>
      <c r="N18" s="5"/>
      <c r="O18" s="201" t="s">
        <v>256</v>
      </c>
      <c r="P18" s="202"/>
      <c r="Q18" s="202"/>
      <c r="R18" s="203"/>
      <c r="S18" s="11">
        <v>8</v>
      </c>
      <c r="T18" s="11"/>
    </row>
    <row r="19" spans="2:20" x14ac:dyDescent="0.45">
      <c r="F19" s="5"/>
      <c r="G19" s="9"/>
      <c r="H19" s="11"/>
      <c r="I19" s="11"/>
      <c r="J19" s="11"/>
      <c r="K19" s="11"/>
      <c r="L19" s="11"/>
      <c r="N19" s="5"/>
      <c r="O19" s="9"/>
      <c r="P19" s="11"/>
      <c r="Q19" s="11"/>
      <c r="R19" s="11"/>
      <c r="S19" s="11"/>
      <c r="T19" s="11"/>
    </row>
    <row r="20" spans="2:20" x14ac:dyDescent="0.45">
      <c r="F20" s="33"/>
      <c r="G20" s="34"/>
      <c r="H20" s="4" t="s">
        <v>123</v>
      </c>
      <c r="I20" s="4" t="s">
        <v>257</v>
      </c>
      <c r="J20" s="4" t="s">
        <v>258</v>
      </c>
      <c r="K20" s="4" t="s">
        <v>179</v>
      </c>
      <c r="L20" s="4" t="s">
        <v>180</v>
      </c>
      <c r="N20" s="33"/>
      <c r="O20" s="34"/>
      <c r="P20" s="4" t="s">
        <v>123</v>
      </c>
      <c r="Q20" s="4" t="s">
        <v>257</v>
      </c>
      <c r="R20" s="4" t="s">
        <v>258</v>
      </c>
      <c r="S20" s="4" t="s">
        <v>179</v>
      </c>
      <c r="T20" s="4" t="s">
        <v>180</v>
      </c>
    </row>
    <row r="21" spans="2:20" ht="18.7" customHeight="1" x14ac:dyDescent="0.45">
      <c r="F21" s="5" t="s">
        <v>239</v>
      </c>
      <c r="G21" s="9" t="s">
        <v>259</v>
      </c>
      <c r="H21" s="11">
        <f>J7</f>
        <v>5</v>
      </c>
      <c r="I21" s="11">
        <v>5</v>
      </c>
      <c r="J21" s="11"/>
      <c r="K21" s="7">
        <v>54000</v>
      </c>
      <c r="L21" s="7">
        <f t="shared" ref="L21:L26" si="0">FV(I21/100,H21,0,-K21)</f>
        <v>68919.204375000001</v>
      </c>
      <c r="M21" s="43"/>
      <c r="N21" s="5" t="s">
        <v>239</v>
      </c>
      <c r="O21" s="9" t="s">
        <v>259</v>
      </c>
      <c r="P21" s="11">
        <v>18</v>
      </c>
      <c r="Q21" s="11">
        <v>5</v>
      </c>
      <c r="R21" s="11"/>
      <c r="S21" s="7">
        <v>180000</v>
      </c>
      <c r="T21" s="7">
        <v>433191</v>
      </c>
    </row>
    <row r="22" spans="2:20" ht="18.7" customHeight="1" x14ac:dyDescent="0.45">
      <c r="F22" s="5" t="s">
        <v>239</v>
      </c>
      <c r="G22" s="9" t="s">
        <v>260</v>
      </c>
      <c r="H22" s="11">
        <f>J7</f>
        <v>5</v>
      </c>
      <c r="I22" s="11">
        <v>5</v>
      </c>
      <c r="J22" s="11"/>
      <c r="K22" s="7">
        <v>54000</v>
      </c>
      <c r="L22" s="7">
        <f t="shared" si="0"/>
        <v>68919.204375000001</v>
      </c>
      <c r="N22" s="5" t="s">
        <v>239</v>
      </c>
      <c r="O22" s="9" t="s">
        <v>261</v>
      </c>
      <c r="P22" s="11">
        <v>18</v>
      </c>
      <c r="Q22" s="11">
        <v>5</v>
      </c>
      <c r="R22" s="11"/>
      <c r="S22" s="7">
        <v>108000</v>
      </c>
      <c r="T22" s="7">
        <v>259914</v>
      </c>
    </row>
    <row r="23" spans="2:20" ht="18.7" customHeight="1" x14ac:dyDescent="0.45">
      <c r="F23" s="33"/>
      <c r="G23" s="34"/>
      <c r="H23" s="12"/>
      <c r="I23" s="12"/>
      <c r="J23" s="12"/>
      <c r="K23" s="4" t="s">
        <v>262</v>
      </c>
      <c r="L23" s="4" t="s">
        <v>179</v>
      </c>
      <c r="N23" s="33"/>
      <c r="O23" s="34"/>
      <c r="P23" s="12"/>
      <c r="Q23" s="12"/>
      <c r="R23" s="12"/>
      <c r="S23" s="4" t="s">
        <v>262</v>
      </c>
      <c r="T23" s="4" t="s">
        <v>179</v>
      </c>
    </row>
    <row r="24" spans="2:20" ht="18.7" customHeight="1" x14ac:dyDescent="0.45">
      <c r="F24" s="5" t="s">
        <v>239</v>
      </c>
      <c r="G24" s="9" t="s">
        <v>263</v>
      </c>
      <c r="H24" s="11">
        <f>L7</f>
        <v>35</v>
      </c>
      <c r="I24" s="11">
        <v>5</v>
      </c>
      <c r="J24" s="11">
        <v>4</v>
      </c>
      <c r="K24" s="7">
        <v>68919</v>
      </c>
      <c r="L24" s="7">
        <f>PV(((I24-J24)/100)/(1+(J24/100)),H24,-K24,0)</f>
        <v>2039981.0090665999</v>
      </c>
      <c r="M24" s="43"/>
      <c r="N24" s="5" t="s">
        <v>239</v>
      </c>
      <c r="O24" s="9" t="s">
        <v>263</v>
      </c>
      <c r="P24" s="11">
        <v>20</v>
      </c>
      <c r="Q24" s="11">
        <v>5</v>
      </c>
      <c r="R24" s="11">
        <v>4</v>
      </c>
      <c r="S24" s="7">
        <f>T22</f>
        <v>259914</v>
      </c>
      <c r="T24" s="7">
        <v>4753779</v>
      </c>
    </row>
    <row r="25" spans="2:20" ht="18.7" customHeight="1" x14ac:dyDescent="0.45">
      <c r="F25" s="5" t="s">
        <v>245</v>
      </c>
      <c r="G25" s="9" t="s">
        <v>259</v>
      </c>
      <c r="H25" s="11">
        <f>J8</f>
        <v>5</v>
      </c>
      <c r="I25" s="11">
        <v>5</v>
      </c>
      <c r="J25" s="11"/>
      <c r="K25" s="7">
        <v>54000</v>
      </c>
      <c r="L25" s="7">
        <f t="shared" si="0"/>
        <v>68919.204375000001</v>
      </c>
      <c r="N25" s="5" t="s">
        <v>245</v>
      </c>
      <c r="O25" s="9" t="s">
        <v>259</v>
      </c>
      <c r="P25" s="11">
        <v>18</v>
      </c>
      <c r="Q25" s="11">
        <v>5</v>
      </c>
      <c r="R25" s="11"/>
      <c r="S25" s="7">
        <v>200000</v>
      </c>
      <c r="T25" s="7">
        <v>481324</v>
      </c>
    </row>
    <row r="26" spans="2:20" ht="18.7" customHeight="1" x14ac:dyDescent="0.45">
      <c r="F26" s="5" t="s">
        <v>245</v>
      </c>
      <c r="G26" s="9" t="s">
        <v>260</v>
      </c>
      <c r="H26" s="11">
        <f>J8</f>
        <v>5</v>
      </c>
      <c r="I26" s="11">
        <v>5</v>
      </c>
      <c r="J26" s="11"/>
      <c r="K26" s="7">
        <v>54000</v>
      </c>
      <c r="L26" s="7">
        <f t="shared" si="0"/>
        <v>68919.204375000001</v>
      </c>
      <c r="N26" s="5" t="s">
        <v>245</v>
      </c>
      <c r="O26" s="9" t="s">
        <v>261</v>
      </c>
      <c r="P26" s="11">
        <v>18</v>
      </c>
      <c r="Q26" s="11">
        <v>5</v>
      </c>
      <c r="R26" s="11"/>
      <c r="S26" s="7">
        <v>120000</v>
      </c>
      <c r="T26" s="7">
        <v>288794</v>
      </c>
    </row>
    <row r="27" spans="2:20" ht="18.7" customHeight="1" x14ac:dyDescent="0.45">
      <c r="F27" s="33"/>
      <c r="G27" s="34"/>
      <c r="H27" s="12"/>
      <c r="I27" s="12"/>
      <c r="J27" s="12"/>
      <c r="K27" s="4" t="s">
        <v>262</v>
      </c>
      <c r="L27" s="4" t="s">
        <v>179</v>
      </c>
      <c r="N27" s="33"/>
      <c r="O27" s="34"/>
      <c r="P27" s="12"/>
      <c r="Q27" s="12"/>
      <c r="R27" s="12"/>
      <c r="S27" s="4" t="s">
        <v>262</v>
      </c>
      <c r="T27" s="4" t="s">
        <v>179</v>
      </c>
    </row>
    <row r="28" spans="2:20" ht="18.7" customHeight="1" x14ac:dyDescent="0.45">
      <c r="F28" s="5" t="s">
        <v>245</v>
      </c>
      <c r="G28" s="9" t="s">
        <v>263</v>
      </c>
      <c r="H28" s="11">
        <f>L8</f>
        <v>35</v>
      </c>
      <c r="I28" s="11">
        <v>5</v>
      </c>
      <c r="J28" s="11">
        <v>4</v>
      </c>
      <c r="K28" s="7">
        <v>68919</v>
      </c>
      <c r="L28" s="7">
        <f>PV(((I28-J28)/100)/(1+(J28/100)),H28,-K28,0)</f>
        <v>2039981.0090665999</v>
      </c>
      <c r="N28" s="5" t="s">
        <v>245</v>
      </c>
      <c r="O28" s="9" t="s">
        <v>263</v>
      </c>
      <c r="P28" s="11">
        <v>20</v>
      </c>
      <c r="Q28" s="11">
        <v>5</v>
      </c>
      <c r="R28" s="11">
        <v>4</v>
      </c>
      <c r="S28" s="7">
        <f>T26</f>
        <v>288794</v>
      </c>
      <c r="T28" s="7">
        <v>5281989</v>
      </c>
    </row>
    <row r="29" spans="2:20" ht="18.7" customHeight="1" x14ac:dyDescent="0.45">
      <c r="F29" s="5"/>
      <c r="G29" s="204" t="s">
        <v>264</v>
      </c>
      <c r="H29" s="205"/>
      <c r="I29" s="205"/>
      <c r="J29" s="205"/>
      <c r="K29" s="206"/>
      <c r="L29" s="44">
        <f>SUM(L24,L28)</f>
        <v>4079962.01813321</v>
      </c>
      <c r="N29" s="5"/>
      <c r="O29" s="204" t="s">
        <v>264</v>
      </c>
      <c r="P29" s="205"/>
      <c r="Q29" s="205"/>
      <c r="R29" s="205"/>
      <c r="S29" s="206"/>
      <c r="T29" s="44">
        <f>SUM(T24,T28)</f>
        <v>10035768</v>
      </c>
    </row>
    <row r="30" spans="2:20" ht="18.7" customHeight="1" x14ac:dyDescent="0.45">
      <c r="F30" s="33"/>
      <c r="G30" s="3" t="s">
        <v>265</v>
      </c>
      <c r="H30" s="12"/>
      <c r="I30" s="12"/>
      <c r="J30" s="12"/>
      <c r="K30" s="4" t="s">
        <v>125</v>
      </c>
      <c r="L30" s="4" t="s">
        <v>266</v>
      </c>
      <c r="N30" s="33"/>
      <c r="O30" s="3" t="s">
        <v>265</v>
      </c>
      <c r="P30" s="12"/>
      <c r="Q30" s="12"/>
      <c r="R30" s="12"/>
      <c r="S30" s="4" t="s">
        <v>125</v>
      </c>
      <c r="T30" s="4" t="s">
        <v>266</v>
      </c>
    </row>
    <row r="31" spans="2:20" ht="18.7" customHeight="1" x14ac:dyDescent="0.45">
      <c r="F31" s="5"/>
      <c r="G31" s="9" t="s">
        <v>267</v>
      </c>
      <c r="H31" s="11">
        <f>$J$7</f>
        <v>5</v>
      </c>
      <c r="I31" s="11">
        <v>8</v>
      </c>
      <c r="J31" s="11"/>
      <c r="K31" s="7">
        <f>Investment!C17</f>
        <v>10047200</v>
      </c>
      <c r="L31" s="7">
        <f>FV(I31/100,H31,0,-(K31))</f>
        <v>14762633.053224964</v>
      </c>
      <c r="N31" s="5"/>
      <c r="O31" s="9" t="s">
        <v>267</v>
      </c>
      <c r="P31" s="11">
        <v>18</v>
      </c>
      <c r="Q31" s="11">
        <v>8</v>
      </c>
      <c r="R31" s="11"/>
      <c r="S31" s="7" t="s">
        <v>15</v>
      </c>
      <c r="T31" s="7" t="s">
        <v>15</v>
      </c>
    </row>
    <row r="32" spans="2:20" ht="18.7" customHeight="1" x14ac:dyDescent="0.45">
      <c r="F32" s="5"/>
      <c r="G32" s="9" t="s">
        <v>268</v>
      </c>
      <c r="H32" s="11">
        <f t="shared" ref="H32:H39" si="1">$J$7</f>
        <v>5</v>
      </c>
      <c r="I32" s="11">
        <v>3</v>
      </c>
      <c r="J32" s="11"/>
      <c r="K32" s="7">
        <f>Investment!C5</f>
        <v>0</v>
      </c>
      <c r="L32" s="7">
        <f t="shared" ref="L32:L39" si="2">FV(I32/100,H32,0,-(K32))</f>
        <v>0</v>
      </c>
      <c r="N32" s="5"/>
      <c r="O32" s="9" t="s">
        <v>269</v>
      </c>
      <c r="P32" s="11">
        <v>18</v>
      </c>
      <c r="Q32" s="11">
        <v>3</v>
      </c>
      <c r="R32" s="11"/>
      <c r="S32" s="7">
        <v>31000</v>
      </c>
      <c r="T32" s="7">
        <v>52775</v>
      </c>
    </row>
    <row r="33" spans="6:20" ht="18.7" customHeight="1" x14ac:dyDescent="0.45">
      <c r="F33" s="5"/>
      <c r="G33" s="9" t="s">
        <v>270</v>
      </c>
      <c r="H33" s="11">
        <f t="shared" si="1"/>
        <v>5</v>
      </c>
      <c r="I33" s="11">
        <v>5</v>
      </c>
      <c r="J33" s="11"/>
      <c r="K33" s="7">
        <f>Investment!C6</f>
        <v>856000</v>
      </c>
      <c r="L33" s="7">
        <f t="shared" si="2"/>
        <v>1092497.0175000001</v>
      </c>
      <c r="N33" s="5"/>
      <c r="O33" s="9" t="s">
        <v>270</v>
      </c>
      <c r="P33" s="11" t="s">
        <v>15</v>
      </c>
      <c r="Q33" s="11"/>
      <c r="R33" s="11"/>
      <c r="S33" s="7" t="s">
        <v>15</v>
      </c>
      <c r="T33" s="7" t="s">
        <v>15</v>
      </c>
    </row>
    <row r="34" spans="6:20" ht="18.7" customHeight="1" x14ac:dyDescent="0.45">
      <c r="F34" s="5"/>
      <c r="G34" s="9" t="s">
        <v>271</v>
      </c>
      <c r="H34" s="11">
        <f t="shared" si="1"/>
        <v>5</v>
      </c>
      <c r="I34" s="11">
        <v>8</v>
      </c>
      <c r="J34" s="11"/>
      <c r="K34" s="7">
        <f>Investment!C8</f>
        <v>434790.65740000003</v>
      </c>
      <c r="L34" s="7">
        <f t="shared" si="2"/>
        <v>638850.12044814986</v>
      </c>
      <c r="N34" s="5"/>
      <c r="O34" s="9" t="s">
        <v>271</v>
      </c>
      <c r="P34" s="11">
        <v>18</v>
      </c>
      <c r="Q34" s="11">
        <v>8</v>
      </c>
      <c r="R34" s="11"/>
      <c r="S34" s="7">
        <v>400000</v>
      </c>
      <c r="T34" s="7">
        <v>1598408</v>
      </c>
    </row>
    <row r="35" spans="6:20" ht="18.7" customHeight="1" x14ac:dyDescent="0.45">
      <c r="F35" s="5"/>
      <c r="G35" s="9" t="s">
        <v>272</v>
      </c>
      <c r="H35" s="11">
        <f t="shared" si="1"/>
        <v>5</v>
      </c>
      <c r="I35" s="11">
        <v>4</v>
      </c>
      <c r="J35" s="11"/>
      <c r="K35" s="7">
        <f>Investment!C9</f>
        <v>317422.14</v>
      </c>
      <c r="L35" s="7">
        <f t="shared" si="2"/>
        <v>386192.56791701925</v>
      </c>
      <c r="N35" s="5"/>
      <c r="O35" s="9" t="s">
        <v>272</v>
      </c>
      <c r="P35" s="11">
        <v>18</v>
      </c>
      <c r="Q35" s="11">
        <v>4</v>
      </c>
      <c r="R35" s="11"/>
      <c r="S35" s="7">
        <v>100000</v>
      </c>
      <c r="T35" s="7">
        <v>202582</v>
      </c>
    </row>
    <row r="36" spans="6:20" ht="18.7" customHeight="1" x14ac:dyDescent="0.45">
      <c r="F36" s="5"/>
      <c r="G36" s="9" t="s">
        <v>85</v>
      </c>
      <c r="H36" s="11">
        <f t="shared" si="1"/>
        <v>5</v>
      </c>
      <c r="I36" s="11">
        <v>8</v>
      </c>
      <c r="J36" s="11"/>
      <c r="K36" s="7">
        <f>Investment!C10</f>
        <v>1604418.06</v>
      </c>
      <c r="L36" s="7">
        <f t="shared" si="2"/>
        <v>2357416.5024829875</v>
      </c>
      <c r="N36" s="5"/>
      <c r="O36" s="9" t="s">
        <v>85</v>
      </c>
      <c r="P36" s="11">
        <v>18</v>
      </c>
      <c r="Q36" s="11">
        <v>8</v>
      </c>
      <c r="R36" s="11"/>
      <c r="S36" s="7">
        <v>290000</v>
      </c>
      <c r="T36" s="7">
        <v>1158846</v>
      </c>
    </row>
    <row r="37" spans="6:20" ht="18.7" customHeight="1" x14ac:dyDescent="0.45">
      <c r="F37" s="5"/>
      <c r="G37" s="9" t="s">
        <v>110</v>
      </c>
      <c r="H37" s="11">
        <f t="shared" si="1"/>
        <v>5</v>
      </c>
      <c r="I37" s="11">
        <v>8</v>
      </c>
      <c r="J37" s="11"/>
      <c r="K37" s="7">
        <f>Investment!C11</f>
        <v>137324</v>
      </c>
      <c r="L37" s="7">
        <f t="shared" si="2"/>
        <v>201774.00881848324</v>
      </c>
      <c r="N37" s="5"/>
      <c r="O37" s="9" t="s">
        <v>110</v>
      </c>
      <c r="P37" s="11">
        <v>18</v>
      </c>
      <c r="Q37" s="11">
        <v>8</v>
      </c>
      <c r="R37" s="11"/>
      <c r="S37" s="7">
        <v>48000</v>
      </c>
      <c r="T37" s="7">
        <v>191808</v>
      </c>
    </row>
    <row r="38" spans="6:20" ht="18.7" customHeight="1" x14ac:dyDescent="0.45">
      <c r="F38" s="5"/>
      <c r="G38" s="9" t="s">
        <v>273</v>
      </c>
      <c r="H38" s="11">
        <f t="shared" si="1"/>
        <v>5</v>
      </c>
      <c r="I38" s="11">
        <v>5</v>
      </c>
      <c r="J38" s="11"/>
      <c r="K38" s="7">
        <f>Investment!C12</f>
        <v>751324</v>
      </c>
      <c r="L38" s="7">
        <f t="shared" si="2"/>
        <v>958900.9686637501</v>
      </c>
      <c r="N38" s="5"/>
      <c r="O38" s="9" t="s">
        <v>273</v>
      </c>
      <c r="P38" s="11">
        <v>18</v>
      </c>
      <c r="Q38" s="11"/>
      <c r="R38" s="11"/>
      <c r="S38" s="7">
        <v>1940000</v>
      </c>
      <c r="T38" s="7">
        <v>1940000</v>
      </c>
    </row>
    <row r="39" spans="6:20" ht="18.7" customHeight="1" x14ac:dyDescent="0.45">
      <c r="F39" s="5"/>
      <c r="G39" s="9" t="s">
        <v>274</v>
      </c>
      <c r="H39" s="11">
        <f t="shared" si="1"/>
        <v>5</v>
      </c>
      <c r="I39" s="11">
        <v>6</v>
      </c>
      <c r="J39" s="11"/>
      <c r="K39" s="7">
        <f>Investment!C16</f>
        <v>701964.7</v>
      </c>
      <c r="L39" s="7">
        <f t="shared" si="2"/>
        <v>939387.11611231102</v>
      </c>
      <c r="N39" s="5"/>
      <c r="O39" s="9" t="s">
        <v>274</v>
      </c>
      <c r="P39" s="11">
        <v>18</v>
      </c>
      <c r="Q39" s="11">
        <v>6</v>
      </c>
      <c r="R39" s="11"/>
      <c r="S39" s="7">
        <v>350000</v>
      </c>
      <c r="T39" s="7">
        <v>999019</v>
      </c>
    </row>
    <row r="40" spans="6:20" ht="18.7" customHeight="1" x14ac:dyDescent="0.45">
      <c r="F40" s="33"/>
      <c r="G40" s="34"/>
      <c r="H40" s="4" t="s">
        <v>123</v>
      </c>
      <c r="I40" s="4" t="s">
        <v>275</v>
      </c>
      <c r="J40" s="4" t="s">
        <v>276</v>
      </c>
      <c r="K40" s="4" t="s">
        <v>126</v>
      </c>
      <c r="L40" s="4" t="s">
        <v>266</v>
      </c>
      <c r="N40" s="33"/>
      <c r="O40" s="34"/>
      <c r="P40" s="4" t="s">
        <v>123</v>
      </c>
      <c r="Q40" s="4" t="s">
        <v>275</v>
      </c>
      <c r="R40" s="4" t="s">
        <v>276</v>
      </c>
      <c r="S40" s="4" t="s">
        <v>126</v>
      </c>
      <c r="T40" s="4" t="s">
        <v>266</v>
      </c>
    </row>
    <row r="41" spans="6:20" ht="18.7" customHeight="1" x14ac:dyDescent="0.45">
      <c r="F41" s="5" t="s">
        <v>239</v>
      </c>
      <c r="G41" s="9" t="s">
        <v>277</v>
      </c>
      <c r="H41" s="11">
        <f>J7</f>
        <v>5</v>
      </c>
      <c r="I41" s="11">
        <v>6</v>
      </c>
      <c r="J41" s="11">
        <v>5</v>
      </c>
      <c r="K41" s="7">
        <f>K21*0.23</f>
        <v>12420</v>
      </c>
      <c r="L41" s="45">
        <f>K41*((((1+(J41/100))^H41)-((1+(I41/100)))^H41))/((J41/100)-(I41/100))</f>
        <v>76934.466754199893</v>
      </c>
      <c r="M41" s="46"/>
      <c r="N41" s="5" t="s">
        <v>239</v>
      </c>
      <c r="O41" s="9" t="s">
        <v>277</v>
      </c>
      <c r="P41" s="11">
        <v>18</v>
      </c>
      <c r="Q41" s="11">
        <v>6</v>
      </c>
      <c r="R41" s="11">
        <v>5</v>
      </c>
      <c r="S41" s="7">
        <v>41400</v>
      </c>
      <c r="T41" s="7">
        <v>1853560</v>
      </c>
    </row>
    <row r="42" spans="6:20" ht="18.7" customHeight="1" x14ac:dyDescent="0.45">
      <c r="F42" s="5" t="s">
        <v>245</v>
      </c>
      <c r="G42" s="9" t="s">
        <v>277</v>
      </c>
      <c r="H42" s="11">
        <f>J8</f>
        <v>5</v>
      </c>
      <c r="I42" s="11">
        <v>6</v>
      </c>
      <c r="J42" s="11">
        <v>5</v>
      </c>
      <c r="K42" s="47">
        <f>K25*0.23</f>
        <v>12420</v>
      </c>
      <c r="L42" s="45">
        <f>K42*((((1+(J42/100))^H42)-((1+(I42/100)))^H42))/((J42/100)-(I42/100))</f>
        <v>76934.466754199893</v>
      </c>
      <c r="M42" s="48"/>
      <c r="N42" s="5" t="s">
        <v>245</v>
      </c>
      <c r="O42" s="9" t="s">
        <v>277</v>
      </c>
      <c r="P42" s="11">
        <v>18</v>
      </c>
      <c r="Q42" s="11">
        <v>6</v>
      </c>
      <c r="R42" s="11">
        <v>5</v>
      </c>
      <c r="S42" s="47">
        <v>46000</v>
      </c>
      <c r="T42" s="7">
        <v>2059512</v>
      </c>
    </row>
    <row r="43" spans="6:20" ht="18.7" customHeight="1" x14ac:dyDescent="0.45">
      <c r="F43" s="5"/>
      <c r="G43" s="40" t="s">
        <v>278</v>
      </c>
      <c r="H43" s="11"/>
      <c r="I43" s="11"/>
      <c r="J43" s="11"/>
      <c r="K43" s="10"/>
      <c r="L43" s="44">
        <f>SUM(L31:L39,L41:L42)</f>
        <v>21491520.288676061</v>
      </c>
      <c r="N43" s="5"/>
      <c r="O43" s="40" t="s">
        <v>278</v>
      </c>
      <c r="P43" s="11"/>
      <c r="Q43" s="11"/>
      <c r="R43" s="11"/>
      <c r="S43" s="10"/>
      <c r="T43" s="44">
        <f>SUM(T31:T39,T41:T42)</f>
        <v>10056510</v>
      </c>
    </row>
    <row r="44" spans="6:20" ht="18.7" customHeight="1" x14ac:dyDescent="0.45">
      <c r="F44" s="5"/>
      <c r="G44" s="40" t="s">
        <v>279</v>
      </c>
      <c r="H44" s="11"/>
      <c r="I44" s="11"/>
      <c r="J44" s="11"/>
      <c r="K44" s="10"/>
      <c r="L44" s="44">
        <f>L29-L43</f>
        <v>-17411558.270542853</v>
      </c>
      <c r="N44" s="5"/>
      <c r="O44" s="40" t="s">
        <v>279</v>
      </c>
      <c r="P44" s="11"/>
      <c r="Q44" s="11"/>
      <c r="R44" s="11"/>
      <c r="S44" s="10"/>
      <c r="T44" s="44">
        <f>T29-T43</f>
        <v>-20742</v>
      </c>
    </row>
    <row r="45" spans="6:20" ht="18.7" customHeight="1" x14ac:dyDescent="0.45">
      <c r="F45" s="33"/>
      <c r="G45" s="34"/>
      <c r="H45" s="12"/>
      <c r="I45" s="12"/>
      <c r="J45" s="12"/>
      <c r="K45" s="4" t="s">
        <v>266</v>
      </c>
      <c r="L45" s="4" t="s">
        <v>126</v>
      </c>
      <c r="N45" s="33"/>
      <c r="O45" s="34"/>
      <c r="P45" s="12"/>
      <c r="Q45" s="12"/>
      <c r="R45" s="12"/>
      <c r="S45" s="4" t="s">
        <v>266</v>
      </c>
      <c r="T45" s="4" t="s">
        <v>126</v>
      </c>
    </row>
    <row r="46" spans="6:20" ht="18.7" customHeight="1" x14ac:dyDescent="0.45">
      <c r="F46" s="5"/>
      <c r="G46" s="9" t="s">
        <v>280</v>
      </c>
      <c r="H46" s="11">
        <f>J7</f>
        <v>5</v>
      </c>
      <c r="I46" s="11">
        <v>8</v>
      </c>
      <c r="J46" s="11"/>
      <c r="K46" s="7">
        <f>-L44</f>
        <v>17411558.270542853</v>
      </c>
      <c r="L46" s="7">
        <f>PMT((I46/100),H46,0,K46,1)</f>
        <v>-2748067.1215561251</v>
      </c>
      <c r="N46" s="5"/>
      <c r="O46" s="9" t="s">
        <v>280</v>
      </c>
      <c r="P46" s="11">
        <v>18</v>
      </c>
      <c r="Q46" s="11">
        <v>8</v>
      </c>
      <c r="R46" s="11"/>
      <c r="S46" s="7">
        <f>T44</f>
        <v>-20742</v>
      </c>
      <c r="T46" s="7">
        <v>513</v>
      </c>
    </row>
    <row r="48" spans="6:20" x14ac:dyDescent="0.45">
      <c r="T48" s="43">
        <f>PMT(0.08,18,0,-20742,1)</f>
        <v>512.82858635013304</v>
      </c>
    </row>
  </sheetData>
  <mergeCells count="22">
    <mergeCell ref="G18:J18"/>
    <mergeCell ref="O18:R18"/>
    <mergeCell ref="G29:K29"/>
    <mergeCell ref="O29:S29"/>
    <mergeCell ref="G15:J15"/>
    <mergeCell ref="O15:R15"/>
    <mergeCell ref="G16:J16"/>
    <mergeCell ref="O16:R16"/>
    <mergeCell ref="G17:J17"/>
    <mergeCell ref="O17:R17"/>
    <mergeCell ref="G11:J11"/>
    <mergeCell ref="O11:R11"/>
    <mergeCell ref="G13:J13"/>
    <mergeCell ref="O13:R13"/>
    <mergeCell ref="G14:J14"/>
    <mergeCell ref="O14:R14"/>
    <mergeCell ref="G2:H2"/>
    <mergeCell ref="O2:P2"/>
    <mergeCell ref="G3:H3"/>
    <mergeCell ref="O3:P3"/>
    <mergeCell ref="F5:L5"/>
    <mergeCell ref="N5:T5"/>
  </mergeCells>
  <phoneticPr fontId="2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128"/>
  <sheetViews>
    <sheetView tabSelected="1" topLeftCell="D1" zoomScale="90" zoomScaleNormal="90" workbookViewId="0">
      <selection activeCell="O3" sqref="O3"/>
    </sheetView>
  </sheetViews>
  <sheetFormatPr defaultColWidth="9" defaultRowHeight="14" x14ac:dyDescent="0.45"/>
  <cols>
    <col min="2" max="2" width="43.9375" customWidth="1"/>
    <col min="3" max="3" width="12.52734375" customWidth="1"/>
    <col min="4" max="4" width="14.8203125" customWidth="1"/>
    <col min="5" max="5" width="19.29296875" customWidth="1"/>
    <col min="6" max="6" width="13.3515625" customWidth="1"/>
    <col min="7" max="7" width="13.05859375" customWidth="1"/>
    <col min="8" max="8" width="31.76171875" customWidth="1"/>
    <col min="9" max="9" width="12.52734375" customWidth="1"/>
    <col min="10" max="10" width="12.29296875" customWidth="1"/>
    <col min="11" max="11" width="17.234375" customWidth="1"/>
    <col min="12" max="12" width="13.3515625" customWidth="1"/>
    <col min="13" max="13" width="13.9375" customWidth="1"/>
    <col min="14" max="14" width="13.17578125" bestFit="1" customWidth="1"/>
    <col min="15" max="15" width="17.52734375" customWidth="1"/>
    <col min="16" max="16" width="15.05859375" customWidth="1"/>
    <col min="17" max="17" width="12.46875" customWidth="1"/>
    <col min="18" max="18" width="12.703125" customWidth="1"/>
  </cols>
  <sheetData>
    <row r="1" spans="2:16" ht="14.35" customHeight="1" thickBot="1" x14ac:dyDescent="0.5">
      <c r="H1" s="255" t="s">
        <v>282</v>
      </c>
      <c r="I1" s="256"/>
      <c r="J1" s="256"/>
      <c r="K1" s="256"/>
      <c r="L1" s="256"/>
      <c r="M1" s="256"/>
      <c r="N1" s="256"/>
      <c r="O1" s="256"/>
      <c r="P1" s="256"/>
    </row>
    <row r="2" spans="2:16" ht="14.35" thickBot="1" x14ac:dyDescent="0.5">
      <c r="B2" s="187" t="s">
        <v>281</v>
      </c>
      <c r="C2" s="188"/>
      <c r="D2" s="188"/>
      <c r="E2" s="188"/>
      <c r="F2" s="189"/>
      <c r="I2" s="254" t="s">
        <v>359</v>
      </c>
      <c r="J2" s="254"/>
      <c r="K2" s="254"/>
      <c r="L2" s="254"/>
      <c r="M2" s="254" t="s">
        <v>376</v>
      </c>
      <c r="N2" s="254"/>
      <c r="O2" s="254"/>
      <c r="P2" s="254"/>
    </row>
    <row r="3" spans="2:16" ht="20.45" customHeight="1" thickBot="1" x14ac:dyDescent="0.5">
      <c r="B3" s="17" t="s">
        <v>283</v>
      </c>
      <c r="C3" s="18" t="s">
        <v>237</v>
      </c>
      <c r="D3" s="18" t="s">
        <v>284</v>
      </c>
      <c r="E3" s="18" t="s">
        <v>285</v>
      </c>
      <c r="F3" s="18" t="s">
        <v>286</v>
      </c>
      <c r="H3" s="17" t="s">
        <v>283</v>
      </c>
      <c r="I3" s="18" t="s">
        <v>237</v>
      </c>
      <c r="J3" s="18" t="s">
        <v>284</v>
      </c>
      <c r="K3" s="18" t="s">
        <v>285</v>
      </c>
      <c r="L3" s="18" t="s">
        <v>286</v>
      </c>
      <c r="M3" s="18" t="s">
        <v>237</v>
      </c>
      <c r="N3" s="18" t="s">
        <v>284</v>
      </c>
      <c r="O3" s="18" t="s">
        <v>285</v>
      </c>
      <c r="P3" s="18" t="s">
        <v>286</v>
      </c>
    </row>
    <row r="4" spans="2:16" ht="20.45" customHeight="1" thickBot="1" x14ac:dyDescent="0.5">
      <c r="B4" s="5" t="s">
        <v>70</v>
      </c>
      <c r="C4" s="7">
        <f>SUM('Net Worth'!E6:E7)</f>
        <v>2243306.2799999998</v>
      </c>
      <c r="D4" s="19">
        <f>C4/$C$19</f>
        <v>0.1312354691825309</v>
      </c>
      <c r="E4" s="11">
        <v>2</v>
      </c>
      <c r="F4" s="19">
        <f>D4*E4</f>
        <v>0.2624709383650618</v>
      </c>
      <c r="H4" s="5" t="s">
        <v>70</v>
      </c>
      <c r="I4" s="7">
        <f>P42+P66</f>
        <v>578940.03099699994</v>
      </c>
      <c r="J4" s="19">
        <f>I4/$I$19</f>
        <v>4.1911042443090143E-2</v>
      </c>
      <c r="K4" s="11">
        <v>2</v>
      </c>
      <c r="L4" s="19">
        <f>J4*K4</f>
        <v>8.3822084886180287E-2</v>
      </c>
      <c r="M4" s="7">
        <f>Q42+Q66</f>
        <v>239784.33255000002</v>
      </c>
      <c r="N4" s="19">
        <f>M4/$I$19</f>
        <v>1.735863958376575E-2</v>
      </c>
      <c r="O4" s="11">
        <v>2</v>
      </c>
      <c r="P4" s="19">
        <f>N4*O4</f>
        <v>3.4717279167531499E-2</v>
      </c>
    </row>
    <row r="5" spans="2:16" ht="20.45" customHeight="1" thickBot="1" x14ac:dyDescent="0.5">
      <c r="B5" s="5" t="s">
        <v>74</v>
      </c>
      <c r="C5" s="7">
        <f>'Net Worth'!E8</f>
        <v>0</v>
      </c>
      <c r="D5" s="19">
        <f>C5/$C$19</f>
        <v>0</v>
      </c>
      <c r="E5" s="11">
        <v>2</v>
      </c>
      <c r="F5" s="19">
        <f t="shared" ref="F5:F13" si="0">D5*E5</f>
        <v>0</v>
      </c>
      <c r="H5" s="5" t="s">
        <v>74</v>
      </c>
      <c r="I5" s="7">
        <f>P65</f>
        <v>0</v>
      </c>
      <c r="J5" s="19">
        <f t="shared" ref="J5:J13" si="1">I5/$I$19</f>
        <v>0</v>
      </c>
      <c r="K5" s="11">
        <v>3</v>
      </c>
      <c r="L5" s="19">
        <f t="shared" ref="L5:L13" si="2">J5*K5</f>
        <v>0</v>
      </c>
      <c r="M5" s="7">
        <f>Q65</f>
        <v>56546.1</v>
      </c>
      <c r="N5" s="19">
        <f t="shared" ref="N5:N13" si="3">M5/$I$19</f>
        <v>4.0935258752274814E-3</v>
      </c>
      <c r="O5" s="11">
        <v>3</v>
      </c>
      <c r="P5" s="19">
        <f t="shared" ref="P5:P13" si="4">N5*O5</f>
        <v>1.2280577625682444E-2</v>
      </c>
    </row>
    <row r="6" spans="2:16" ht="20.45" customHeight="1" thickBot="1" x14ac:dyDescent="0.5">
      <c r="B6" s="5" t="s">
        <v>287</v>
      </c>
      <c r="C6" s="7">
        <f>'Net Worth'!E9</f>
        <v>856000</v>
      </c>
      <c r="D6" s="19">
        <f>C6/$C$19</f>
        <v>5.0076782926068597E-2</v>
      </c>
      <c r="E6" s="11">
        <v>5</v>
      </c>
      <c r="F6" s="19">
        <f t="shared" si="0"/>
        <v>0.25038391463034299</v>
      </c>
      <c r="H6" s="5" t="s">
        <v>287</v>
      </c>
      <c r="I6" s="7">
        <v>0</v>
      </c>
      <c r="J6" s="19">
        <f t="shared" si="1"/>
        <v>0</v>
      </c>
      <c r="K6" s="11">
        <v>5</v>
      </c>
      <c r="L6" s="19">
        <f t="shared" si="2"/>
        <v>0</v>
      </c>
      <c r="M6" s="7">
        <v>0</v>
      </c>
      <c r="N6" s="19">
        <f t="shared" si="3"/>
        <v>0</v>
      </c>
      <c r="O6" s="11">
        <v>5</v>
      </c>
      <c r="P6" s="19">
        <f t="shared" si="4"/>
        <v>0</v>
      </c>
    </row>
    <row r="7" spans="2:16" ht="20.45" customHeight="1" thickBot="1" x14ac:dyDescent="0.5">
      <c r="B7" s="5" t="s">
        <v>288</v>
      </c>
      <c r="C7" s="7">
        <f>'Net Worth'!E10</f>
        <v>0</v>
      </c>
      <c r="D7" s="19">
        <f>C7/$C$19</f>
        <v>0</v>
      </c>
      <c r="E7" s="11">
        <v>2</v>
      </c>
      <c r="F7" s="19">
        <f t="shared" si="0"/>
        <v>0</v>
      </c>
      <c r="H7" s="5" t="s">
        <v>289</v>
      </c>
      <c r="I7" s="7">
        <v>0</v>
      </c>
      <c r="J7" s="19">
        <f t="shared" si="1"/>
        <v>0</v>
      </c>
      <c r="K7" s="11">
        <v>4</v>
      </c>
      <c r="L7" s="19">
        <f t="shared" si="2"/>
        <v>0</v>
      </c>
      <c r="M7" s="7">
        <v>0</v>
      </c>
      <c r="N7" s="19">
        <f t="shared" si="3"/>
        <v>0</v>
      </c>
      <c r="O7" s="11">
        <v>4</v>
      </c>
      <c r="P7" s="19">
        <f t="shared" si="4"/>
        <v>0</v>
      </c>
    </row>
    <row r="8" spans="2:16" ht="20.45" customHeight="1" thickBot="1" x14ac:dyDescent="0.5">
      <c r="B8" s="5" t="s">
        <v>271</v>
      </c>
      <c r="C8" s="7">
        <f>'Net Worth'!E13</f>
        <v>434790.65740000003</v>
      </c>
      <c r="D8" s="19">
        <f>C8/$C$19</f>
        <v>2.5435651131895401E-2</v>
      </c>
      <c r="E8" s="11">
        <v>8</v>
      </c>
      <c r="F8" s="19">
        <f t="shared" si="0"/>
        <v>0.20348520905516321</v>
      </c>
      <c r="H8" s="5" t="s">
        <v>271</v>
      </c>
      <c r="I8" s="7">
        <f>P41+P101</f>
        <v>562811.86392299994</v>
      </c>
      <c r="J8" s="19">
        <f t="shared" si="1"/>
        <v>4.0743480591124918E-2</v>
      </c>
      <c r="K8" s="11">
        <v>8</v>
      </c>
      <c r="L8" s="19">
        <f t="shared" si="2"/>
        <v>0.32594784472899935</v>
      </c>
      <c r="M8" s="7">
        <f>Q41+Q101</f>
        <v>218486.30102199997</v>
      </c>
      <c r="N8" s="19">
        <f t="shared" si="3"/>
        <v>1.5816817191924775E-2</v>
      </c>
      <c r="O8" s="11">
        <v>8</v>
      </c>
      <c r="P8" s="19">
        <f t="shared" si="4"/>
        <v>0.1265345375353982</v>
      </c>
    </row>
    <row r="9" spans="2:16" ht="20.45" customHeight="1" thickBot="1" x14ac:dyDescent="0.5">
      <c r="B9" s="5" t="s">
        <v>272</v>
      </c>
      <c r="C9" s="7">
        <f>'Net Worth'!E14</f>
        <v>317422.14</v>
      </c>
      <c r="D9" s="19">
        <f>C9/$C$19</f>
        <v>1.8569485514845979E-2</v>
      </c>
      <c r="E9" s="11">
        <v>4</v>
      </c>
      <c r="F9" s="19">
        <f t="shared" si="0"/>
        <v>7.4277942059383914E-2</v>
      </c>
      <c r="H9" s="5" t="s">
        <v>272</v>
      </c>
      <c r="I9" s="7">
        <f>P44</f>
        <v>1199433.8132269999</v>
      </c>
      <c r="J9" s="19">
        <f t="shared" si="1"/>
        <v>8.6830273883919326E-2</v>
      </c>
      <c r="K9" s="11">
        <v>4</v>
      </c>
      <c r="L9" s="19">
        <f t="shared" si="2"/>
        <v>0.3473210955356773</v>
      </c>
      <c r="M9" s="7">
        <f>Q44</f>
        <v>0</v>
      </c>
      <c r="N9" s="19">
        <f t="shared" si="3"/>
        <v>0</v>
      </c>
      <c r="O9" s="11">
        <v>4</v>
      </c>
      <c r="P9" s="19">
        <f t="shared" si="4"/>
        <v>0</v>
      </c>
    </row>
    <row r="10" spans="2:16" ht="20.45" customHeight="1" thickBot="1" x14ac:dyDescent="0.5">
      <c r="B10" s="5" t="s">
        <v>85</v>
      </c>
      <c r="C10" s="7">
        <f>'Net Worth'!E15</f>
        <v>1604418.06</v>
      </c>
      <c r="D10" s="19">
        <f>C10/$C$19</f>
        <v>9.3859923964116937E-2</v>
      </c>
      <c r="E10" s="11">
        <v>8</v>
      </c>
      <c r="F10" s="19">
        <f t="shared" si="0"/>
        <v>0.7508793917129355</v>
      </c>
      <c r="H10" s="5" t="s">
        <v>85</v>
      </c>
      <c r="I10" s="7">
        <f>P39</f>
        <v>1483731.3625200002</v>
      </c>
      <c r="J10" s="19">
        <f t="shared" si="1"/>
        <v>0.10741134621772586</v>
      </c>
      <c r="K10" s="11">
        <v>7</v>
      </c>
      <c r="L10" s="19">
        <f t="shared" si="2"/>
        <v>0.75187942352408099</v>
      </c>
      <c r="M10" s="7">
        <f>Q39</f>
        <v>39709.19</v>
      </c>
      <c r="N10" s="19">
        <f t="shared" si="3"/>
        <v>2.8746561964366132E-3</v>
      </c>
      <c r="O10" s="11">
        <v>7</v>
      </c>
      <c r="P10" s="19">
        <f t="shared" si="4"/>
        <v>2.0122593375056293E-2</v>
      </c>
    </row>
    <row r="11" spans="2:16" ht="20.45" customHeight="1" thickBot="1" x14ac:dyDescent="0.5">
      <c r="B11" s="5" t="s">
        <v>290</v>
      </c>
      <c r="C11" s="7">
        <f>'Net Worth'!E18</f>
        <v>137324</v>
      </c>
      <c r="D11" s="19">
        <f>C11/$C$19</f>
        <v>8.0335796010974816E-3</v>
      </c>
      <c r="E11" s="11">
        <v>8</v>
      </c>
      <c r="F11" s="19">
        <f t="shared" si="0"/>
        <v>6.4268636808779853E-2</v>
      </c>
      <c r="H11" s="5" t="s">
        <v>290</v>
      </c>
      <c r="I11" s="7">
        <f>P43</f>
        <v>82700.95</v>
      </c>
      <c r="J11" s="19">
        <f t="shared" si="1"/>
        <v>5.9869465574264929E-3</v>
      </c>
      <c r="K11" s="11">
        <v>8</v>
      </c>
      <c r="L11" s="19">
        <f t="shared" si="2"/>
        <v>4.7895572459411943E-2</v>
      </c>
      <c r="M11" s="7">
        <f>Q43</f>
        <v>62343.94</v>
      </c>
      <c r="N11" s="19">
        <f t="shared" si="3"/>
        <v>4.5132472717593188E-3</v>
      </c>
      <c r="O11" s="11">
        <v>8</v>
      </c>
      <c r="P11" s="19">
        <f t="shared" si="4"/>
        <v>3.610597817407455E-2</v>
      </c>
    </row>
    <row r="12" spans="2:16" ht="20.45" customHeight="1" thickBot="1" x14ac:dyDescent="0.5">
      <c r="B12" s="5" t="s">
        <v>165</v>
      </c>
      <c r="C12" s="7">
        <f>'Net Worth'!E16</f>
        <v>751324</v>
      </c>
      <c r="D12" s="19">
        <f>C12/$C$19</f>
        <v>4.3953141185917713E-2</v>
      </c>
      <c r="E12" s="11">
        <v>5</v>
      </c>
      <c r="F12" s="19">
        <f t="shared" si="0"/>
        <v>0.21976570592958855</v>
      </c>
      <c r="H12" s="5" t="s">
        <v>165</v>
      </c>
      <c r="I12" s="7">
        <f>P40</f>
        <v>1277078.33</v>
      </c>
      <c r="J12" s="19">
        <f t="shared" si="1"/>
        <v>9.2451171496306564E-2</v>
      </c>
      <c r="K12" s="11">
        <v>5</v>
      </c>
      <c r="L12" s="19">
        <f t="shared" si="2"/>
        <v>0.46225585748153281</v>
      </c>
      <c r="M12" s="7">
        <f>Q40</f>
        <v>0</v>
      </c>
      <c r="N12" s="19">
        <f t="shared" si="3"/>
        <v>0</v>
      </c>
      <c r="O12" s="11">
        <v>5</v>
      </c>
      <c r="P12" s="19">
        <f t="shared" si="4"/>
        <v>0</v>
      </c>
    </row>
    <row r="13" spans="2:16" ht="20.45" customHeight="1" thickBot="1" x14ac:dyDescent="0.5">
      <c r="B13" s="5" t="s">
        <v>291</v>
      </c>
      <c r="C13" s="7">
        <f>'Net Worth'!E20</f>
        <v>0</v>
      </c>
      <c r="D13" s="19">
        <f>C13/$C$19</f>
        <v>0</v>
      </c>
      <c r="E13" s="11">
        <v>5</v>
      </c>
      <c r="F13" s="19">
        <f t="shared" si="0"/>
        <v>0</v>
      </c>
      <c r="H13" s="5" t="s">
        <v>291</v>
      </c>
      <c r="I13" s="7">
        <v>0</v>
      </c>
      <c r="J13" s="19">
        <f t="shared" si="1"/>
        <v>0</v>
      </c>
      <c r="K13" s="11">
        <v>5</v>
      </c>
      <c r="L13" s="19">
        <f t="shared" si="2"/>
        <v>0</v>
      </c>
      <c r="M13" s="7">
        <v>0</v>
      </c>
      <c r="N13" s="19">
        <f t="shared" si="3"/>
        <v>0</v>
      </c>
      <c r="O13" s="11">
        <v>5</v>
      </c>
      <c r="P13" s="19">
        <f t="shared" si="4"/>
        <v>0</v>
      </c>
    </row>
    <row r="14" spans="2:16" ht="20.45" customHeight="1" thickBot="1" x14ac:dyDescent="0.5">
      <c r="B14" s="2" t="s">
        <v>162</v>
      </c>
      <c r="C14" s="20">
        <f>SUM(C4:C13)</f>
        <v>6344585.1373999994</v>
      </c>
      <c r="D14" s="21">
        <f>C14/C19</f>
        <v>0.37116403350647298</v>
      </c>
      <c r="E14" s="12"/>
      <c r="F14" s="21">
        <f>SUM(F4:F13)</f>
        <v>1.8255317385612559</v>
      </c>
      <c r="H14" s="2" t="s">
        <v>162</v>
      </c>
      <c r="I14" s="20">
        <f>SUM(I4:I13)</f>
        <v>5184696.3506669998</v>
      </c>
      <c r="J14" s="21">
        <f>I14/I19</f>
        <v>0.37533426118959329</v>
      </c>
      <c r="K14" s="12"/>
      <c r="L14" s="21">
        <f>SUM(L4:L13)</f>
        <v>2.0191218786158824</v>
      </c>
      <c r="M14" s="20">
        <f>SUM(M4:M13)</f>
        <v>616869.86357200006</v>
      </c>
      <c r="N14" s="21">
        <f>M14/M19</f>
        <v>0.22769536931389947</v>
      </c>
      <c r="O14" s="12"/>
      <c r="P14" s="21">
        <f>SUM(P4:P13)</f>
        <v>0.22976096587774297</v>
      </c>
    </row>
    <row r="15" spans="2:16" ht="20.45" customHeight="1" thickBot="1" x14ac:dyDescent="0.5">
      <c r="B15" s="22" t="s">
        <v>292</v>
      </c>
      <c r="C15" s="10"/>
      <c r="D15" s="19"/>
      <c r="E15" s="11"/>
      <c r="F15" s="19"/>
      <c r="H15" s="22" t="s">
        <v>292</v>
      </c>
      <c r="I15" s="10"/>
      <c r="J15" s="19"/>
      <c r="K15" s="11"/>
      <c r="L15" s="19"/>
      <c r="M15" s="10"/>
      <c r="N15" s="19"/>
      <c r="O15" s="11"/>
      <c r="P15" s="19"/>
    </row>
    <row r="16" spans="2:16" ht="20.45" customHeight="1" thickBot="1" x14ac:dyDescent="0.5">
      <c r="B16" s="5" t="s">
        <v>168</v>
      </c>
      <c r="C16" s="7">
        <f>'Net Worth'!E17</f>
        <v>701964.7</v>
      </c>
      <c r="D16" s="19">
        <f>C16/$C$19</f>
        <v>4.1065576990260352E-2</v>
      </c>
      <c r="E16" s="11">
        <v>6</v>
      </c>
      <c r="F16" s="19">
        <f t="shared" ref="F16:F17" si="5">D16*E16</f>
        <v>0.24639346194156211</v>
      </c>
      <c r="H16" s="5" t="s">
        <v>168</v>
      </c>
      <c r="I16" s="7">
        <f>P67</f>
        <v>478847.7</v>
      </c>
      <c r="J16" s="19">
        <f t="shared" ref="J16:J17" si="6">I16/$I$19</f>
        <v>3.4665086544309276E-2</v>
      </c>
      <c r="K16" s="11">
        <v>5</v>
      </c>
      <c r="L16" s="19">
        <f t="shared" ref="L16:L17" si="7">J16*K16</f>
        <v>0.17332543272154638</v>
      </c>
      <c r="M16" s="7">
        <f>Q67</f>
        <v>195119.46</v>
      </c>
      <c r="N16" s="19">
        <f t="shared" ref="N16:N17" si="8">M16/$I$19</f>
        <v>1.4125228057645241E-2</v>
      </c>
      <c r="O16" s="11">
        <v>5</v>
      </c>
      <c r="P16" s="19">
        <f t="shared" ref="P16:P17" si="9">N16*O16</f>
        <v>7.0626140288226211E-2</v>
      </c>
    </row>
    <row r="17" spans="1:16" ht="20.45" customHeight="1" thickBot="1" x14ac:dyDescent="0.5">
      <c r="B17" s="5" t="s">
        <v>267</v>
      </c>
      <c r="C17" s="7">
        <f>'Net Worth'!E23</f>
        <v>10047200</v>
      </c>
      <c r="D17" s="19">
        <f>C17/$C$19</f>
        <v>0.58777038950326677</v>
      </c>
      <c r="E17" s="11">
        <v>8</v>
      </c>
      <c r="F17" s="19">
        <f t="shared" si="5"/>
        <v>4.7021631160261341</v>
      </c>
      <c r="H17" s="5" t="s">
        <v>267</v>
      </c>
      <c r="I17" s="7">
        <f>'Net Worth'!C23</f>
        <v>8150000</v>
      </c>
      <c r="J17" s="19">
        <f t="shared" si="6"/>
        <v>0.59000065226609755</v>
      </c>
      <c r="K17" s="11">
        <v>8</v>
      </c>
      <c r="L17" s="19">
        <f t="shared" si="7"/>
        <v>4.7200052181287804</v>
      </c>
      <c r="M17" s="7">
        <f>'Net Worth'!D23</f>
        <v>1897200</v>
      </c>
      <c r="N17" s="19">
        <f t="shared" si="8"/>
        <v>0.13734346472137915</v>
      </c>
      <c r="O17" s="11">
        <v>8</v>
      </c>
      <c r="P17" s="19">
        <f t="shared" si="9"/>
        <v>1.0987477177710332</v>
      </c>
    </row>
    <row r="18" spans="1:16" ht="20.45" customHeight="1" thickBot="1" x14ac:dyDescent="0.5">
      <c r="B18" s="2" t="s">
        <v>162</v>
      </c>
      <c r="C18" s="20">
        <f>SUM(C16:C17)</f>
        <v>10749164.699999999</v>
      </c>
      <c r="D18" s="21">
        <f>C18/C19</f>
        <v>0.62883596649352713</v>
      </c>
      <c r="E18" s="12"/>
      <c r="F18" s="21">
        <f>SUM(F16:F17)</f>
        <v>4.9485565779676959</v>
      </c>
      <c r="H18" s="2" t="s">
        <v>162</v>
      </c>
      <c r="I18" s="20">
        <f>SUM(I16:I17)</f>
        <v>8628847.6999999993</v>
      </c>
      <c r="J18" s="21">
        <f>I18/I19</f>
        <v>0.62466573881040677</v>
      </c>
      <c r="K18" s="12"/>
      <c r="L18" s="21">
        <f>SUM(L16:L17)</f>
        <v>4.8933306508503271</v>
      </c>
      <c r="M18" s="20">
        <f>SUM(M16:M17)</f>
        <v>2092319.46</v>
      </c>
      <c r="N18" s="21">
        <f>M18/M19</f>
        <v>0.77230463068610056</v>
      </c>
      <c r="O18" s="12"/>
      <c r="P18" s="21">
        <f>SUM(P16:P17)</f>
        <v>1.1693738580592594</v>
      </c>
    </row>
    <row r="19" spans="1:16" ht="20.45" customHeight="1" thickBot="1" x14ac:dyDescent="0.5">
      <c r="B19" s="23" t="s">
        <v>293</v>
      </c>
      <c r="C19" s="24">
        <f>SUM(C14,C18)</f>
        <v>17093749.837399997</v>
      </c>
      <c r="D19" s="25">
        <v>1</v>
      </c>
      <c r="E19" s="26"/>
      <c r="F19" s="27">
        <f>SUM(F14,F18)</f>
        <v>6.7740883165289514</v>
      </c>
      <c r="H19" s="23" t="s">
        <v>293</v>
      </c>
      <c r="I19" s="24">
        <f>SUM(I14,I18)</f>
        <v>13813544.050666999</v>
      </c>
      <c r="J19" s="25">
        <v>1</v>
      </c>
      <c r="K19" s="26"/>
      <c r="L19" s="27">
        <f>SUM(L14,L18)</f>
        <v>6.9124525294662096</v>
      </c>
      <c r="M19" s="24">
        <f>SUM(M14,M18)</f>
        <v>2709189.323572</v>
      </c>
      <c r="N19" s="25">
        <v>1</v>
      </c>
      <c r="O19" s="26"/>
      <c r="P19" s="27">
        <f>SUM(P14,P18)</f>
        <v>1.3991348239370023</v>
      </c>
    </row>
    <row r="23" spans="1:16" x14ac:dyDescent="0.45">
      <c r="A23" s="241"/>
      <c r="B23" s="242" t="s">
        <v>350</v>
      </c>
      <c r="C23" s="242" t="s">
        <v>468</v>
      </c>
      <c r="D23" s="242" t="s">
        <v>469</v>
      </c>
      <c r="E23" s="242" t="s">
        <v>352</v>
      </c>
      <c r="F23" s="242" t="s">
        <v>353</v>
      </c>
      <c r="G23" s="242" t="s">
        <v>378</v>
      </c>
      <c r="H23" s="242" t="s">
        <v>406</v>
      </c>
      <c r="I23" s="242" t="s">
        <v>410</v>
      </c>
      <c r="J23" s="241">
        <v>2034</v>
      </c>
      <c r="K23" s="242" t="s">
        <v>434</v>
      </c>
      <c r="L23" s="242" t="s">
        <v>471</v>
      </c>
      <c r="N23" s="242" t="s">
        <v>406</v>
      </c>
      <c r="O23" s="242" t="s">
        <v>470</v>
      </c>
    </row>
    <row r="24" spans="1:16" x14ac:dyDescent="0.45">
      <c r="A24" s="218" t="s">
        <v>359</v>
      </c>
      <c r="B24" s="218" t="s">
        <v>354</v>
      </c>
      <c r="C24" s="219">
        <v>60952.72</v>
      </c>
      <c r="D24" s="220">
        <f>IF(H24="MY", C24, C24 * VLOOKUP(H24, $N$24:$O$32, 2, FALSE))</f>
        <v>60952.72</v>
      </c>
      <c r="E24" s="221">
        <f>IF(H24="MY", G24, G24 * VLOOKUP(H24, $N$24:$O$32, 2, FALSE))</f>
        <v>60382.47</v>
      </c>
      <c r="F24" s="222">
        <f>(G24/C24)-1</f>
        <v>-9.3556120219081551E-3</v>
      </c>
      <c r="G24" s="219">
        <v>60382.47</v>
      </c>
      <c r="H24" s="218" t="s">
        <v>381</v>
      </c>
      <c r="I24" s="217"/>
      <c r="J24" s="217"/>
      <c r="K24" s="217"/>
      <c r="L24" s="218" t="s">
        <v>472</v>
      </c>
      <c r="N24" s="218" t="s">
        <v>381</v>
      </c>
      <c r="O24" s="217">
        <v>1</v>
      </c>
    </row>
    <row r="25" spans="1:16" x14ac:dyDescent="0.45">
      <c r="A25" s="218" t="s">
        <v>359</v>
      </c>
      <c r="B25" s="218" t="s">
        <v>355</v>
      </c>
      <c r="C25" s="219">
        <v>227225.82</v>
      </c>
      <c r="D25" s="220">
        <f>IF(H25="MY", C25, C25 * VLOOKUP(H25, $N$24:$O$32, 2, FALSE))</f>
        <v>227225.82</v>
      </c>
      <c r="E25" s="221">
        <f>IF(H25="MY", G25, G25 * VLOOKUP(H25, $N$24:$O$32, 2, FALSE))</f>
        <v>212135.17</v>
      </c>
      <c r="F25" s="222">
        <f>(G25/C25)-1</f>
        <v>-6.6412567022532842E-2</v>
      </c>
      <c r="G25" s="219">
        <v>212135.17</v>
      </c>
      <c r="H25" s="218" t="s">
        <v>381</v>
      </c>
      <c r="I25" s="217"/>
      <c r="J25" s="217"/>
      <c r="K25" s="217"/>
      <c r="L25" s="218" t="s">
        <v>472</v>
      </c>
      <c r="N25" s="218" t="s">
        <v>372</v>
      </c>
      <c r="O25" s="217">
        <v>0.52949999999999997</v>
      </c>
    </row>
    <row r="26" spans="1:16" x14ac:dyDescent="0.45">
      <c r="A26" s="218" t="s">
        <v>359</v>
      </c>
      <c r="B26" s="218" t="s">
        <v>356</v>
      </c>
      <c r="C26" s="219">
        <v>100192</v>
      </c>
      <c r="D26" s="220">
        <f>IF(H26="MY", C26, C26 * VLOOKUP(H26, $N$24:$O$32, 2, FALSE))</f>
        <v>100192</v>
      </c>
      <c r="E26" s="221">
        <f>IF(H26="MY", G26, G26 * VLOOKUP(H26, $N$24:$O$32, 2, FALSE))</f>
        <v>97314.68</v>
      </c>
      <c r="F26" s="222">
        <f>(G26/C26)-1</f>
        <v>-2.871806132226129E-2</v>
      </c>
      <c r="G26" s="223">
        <v>97314.68</v>
      </c>
      <c r="H26" s="218" t="s">
        <v>381</v>
      </c>
      <c r="I26" s="217"/>
      <c r="J26" s="217"/>
      <c r="K26" s="217"/>
      <c r="L26" s="243" t="s">
        <v>472</v>
      </c>
      <c r="N26" s="218" t="s">
        <v>371</v>
      </c>
      <c r="O26" s="217">
        <v>4.1189</v>
      </c>
    </row>
    <row r="27" spans="1:16" x14ac:dyDescent="0.45">
      <c r="A27" s="218" t="s">
        <v>359</v>
      </c>
      <c r="B27" s="218" t="s">
        <v>433</v>
      </c>
      <c r="C27" s="219">
        <v>301407</v>
      </c>
      <c r="D27" s="220">
        <f>IF(H27="MY", C27, C27 * VLOOKUP(H27, $N$24:$O$32, 2, FALSE))</f>
        <v>301407</v>
      </c>
      <c r="E27" s="221">
        <f>IF(H27="MY", G27, G27 * VLOOKUP(H27, $N$24:$O$32, 2, FALSE))</f>
        <v>299257</v>
      </c>
      <c r="F27" s="222">
        <f>(G27/C27)-1</f>
        <v>-7.1332119028423291E-3</v>
      </c>
      <c r="G27" s="219">
        <v>299257</v>
      </c>
      <c r="H27" s="218" t="s">
        <v>381</v>
      </c>
      <c r="I27" s="218" t="s">
        <v>435</v>
      </c>
      <c r="J27" s="217">
        <v>376428</v>
      </c>
      <c r="K27" s="217">
        <v>471164</v>
      </c>
      <c r="L27" s="243" t="s">
        <v>473</v>
      </c>
      <c r="N27" s="218" t="s">
        <v>449</v>
      </c>
      <c r="O27" s="217">
        <v>3.1795</v>
      </c>
    </row>
    <row r="28" spans="1:16" x14ac:dyDescent="0.45">
      <c r="A28" s="218" t="s">
        <v>359</v>
      </c>
      <c r="B28" s="218" t="s">
        <v>436</v>
      </c>
      <c r="C28" s="219">
        <v>17000</v>
      </c>
      <c r="D28" s="220">
        <f>IF(H28="MY", C28, C28 * VLOOKUP(H28, $N$24:$O$32, 2, FALSE))</f>
        <v>17000</v>
      </c>
      <c r="E28" s="221">
        <f>IF(H28="MY", G28, G28 * VLOOKUP(H28, $N$24:$O$32, 2, FALSE))</f>
        <v>24004.1</v>
      </c>
      <c r="F28" s="222">
        <f>(G28/C28)-1</f>
        <v>0.41200588235294111</v>
      </c>
      <c r="G28" s="219">
        <v>24004.1</v>
      </c>
      <c r="H28" s="218" t="s">
        <v>381</v>
      </c>
      <c r="I28" s="217"/>
      <c r="J28" s="217"/>
      <c r="K28" s="217"/>
      <c r="L28" s="243" t="s">
        <v>474</v>
      </c>
      <c r="N28" s="218" t="s">
        <v>459</v>
      </c>
      <c r="O28" s="217">
        <v>5.4880000000000004</v>
      </c>
    </row>
    <row r="29" spans="1:16" x14ac:dyDescent="0.45">
      <c r="A29" s="218" t="s">
        <v>359</v>
      </c>
      <c r="B29" s="218" t="s">
        <v>437</v>
      </c>
      <c r="C29" s="219">
        <v>10000</v>
      </c>
      <c r="D29" s="220">
        <f>IF(H29="MY", C29, C29 * VLOOKUP(H29, $N$24:$O$32, 2, FALSE))</f>
        <v>10000</v>
      </c>
      <c r="E29" s="221">
        <f>IF(H29="MY", G29, G29 * VLOOKUP(H29, $N$24:$O$32, 2, FALSE))</f>
        <v>19043.46</v>
      </c>
      <c r="F29" s="222">
        <f>(G29/C29)-1</f>
        <v>0.90434599999999987</v>
      </c>
      <c r="G29" s="219">
        <v>19043.46</v>
      </c>
      <c r="H29" s="218" t="s">
        <v>381</v>
      </c>
      <c r="I29" s="217"/>
      <c r="J29" s="217"/>
      <c r="K29" s="217"/>
      <c r="L29" s="243" t="s">
        <v>472</v>
      </c>
      <c r="N29" s="218" t="s">
        <v>422</v>
      </c>
      <c r="O29" s="217">
        <v>0.57999999999999996</v>
      </c>
    </row>
    <row r="30" spans="1:16" x14ac:dyDescent="0.45">
      <c r="A30" s="218" t="s">
        <v>359</v>
      </c>
      <c r="B30" s="218" t="s">
        <v>404</v>
      </c>
      <c r="C30" s="219">
        <v>23811.77</v>
      </c>
      <c r="D30" s="220">
        <f>IF(H30="MY", C30, C30 * VLOOKUP(H30, $N$24:$O$32, 2, FALSE))</f>
        <v>12608.332215</v>
      </c>
      <c r="E30" s="221">
        <f>IF(H30="MY", G30, G30 * VLOOKUP(H30, $N$24:$O$32, 2, FALSE))</f>
        <v>12608.332215</v>
      </c>
      <c r="F30" s="222">
        <f>(G30/C30)-1</f>
        <v>0</v>
      </c>
      <c r="G30" s="219">
        <v>23811.77</v>
      </c>
      <c r="H30" s="218" t="s">
        <v>372</v>
      </c>
      <c r="I30" s="217"/>
      <c r="J30" s="217"/>
      <c r="K30" s="217"/>
      <c r="L30" s="243" t="s">
        <v>475</v>
      </c>
      <c r="N30" s="218" t="s">
        <v>423</v>
      </c>
      <c r="O30" s="217">
        <v>0.1295</v>
      </c>
    </row>
    <row r="31" spans="1:16" x14ac:dyDescent="0.45">
      <c r="A31" s="218" t="s">
        <v>359</v>
      </c>
      <c r="B31" s="218" t="s">
        <v>405</v>
      </c>
      <c r="C31" s="219">
        <v>1392.27</v>
      </c>
      <c r="D31" s="220">
        <f>IF(H31="MY", C31, C31 * VLOOKUP(H31, $N$24:$O$32, 2, FALSE))</f>
        <v>5734.620903</v>
      </c>
      <c r="E31" s="221">
        <f>IF(H31="MY", G31, G31 * VLOOKUP(H31, $N$24:$O$32, 2, FALSE))</f>
        <v>5734.620903</v>
      </c>
      <c r="F31" s="222">
        <f>(G31/C31)-1</f>
        <v>0</v>
      </c>
      <c r="G31" s="219">
        <v>1392.27</v>
      </c>
      <c r="H31" s="218" t="s">
        <v>371</v>
      </c>
      <c r="I31" s="217"/>
      <c r="J31" s="217"/>
      <c r="K31" s="217"/>
      <c r="L31" s="243" t="s">
        <v>475</v>
      </c>
      <c r="N31" s="218" t="s">
        <v>441</v>
      </c>
      <c r="O31" s="217">
        <v>2.2782</v>
      </c>
    </row>
    <row r="32" spans="1:16" x14ac:dyDescent="0.45">
      <c r="A32" s="218" t="s">
        <v>359</v>
      </c>
      <c r="B32" s="218" t="s">
        <v>407</v>
      </c>
      <c r="C32" s="219">
        <v>34836.379999999997</v>
      </c>
      <c r="D32" s="220">
        <f>IF(H32="MY", C32, C32 * VLOOKUP(H32, $N$24:$O$32, 2, FALSE))</f>
        <v>34836.379999999997</v>
      </c>
      <c r="E32" s="221">
        <f>IF(H32="MY", G32, G32 * VLOOKUP(H32, $N$24:$O$32, 2, FALSE))</f>
        <v>41906.31</v>
      </c>
      <c r="F32" s="222">
        <f>(G32/C32)-1</f>
        <v>0.20294674705006654</v>
      </c>
      <c r="G32" s="219">
        <v>41906.31</v>
      </c>
      <c r="H32" s="218" t="s">
        <v>381</v>
      </c>
      <c r="I32" s="217">
        <v>1500</v>
      </c>
      <c r="J32" s="217"/>
      <c r="K32" s="217"/>
      <c r="L32" s="243" t="s">
        <v>476</v>
      </c>
      <c r="N32" s="218" t="s">
        <v>439</v>
      </c>
      <c r="O32" s="217">
        <v>0.13200000000000001</v>
      </c>
    </row>
    <row r="33" spans="1:18" x14ac:dyDescent="0.45">
      <c r="A33" s="218" t="s">
        <v>359</v>
      </c>
      <c r="B33" s="218" t="s">
        <v>408</v>
      </c>
      <c r="C33" s="219">
        <v>33082.58</v>
      </c>
      <c r="D33" s="220">
        <f>IF(H33="MY", C33, C33 * VLOOKUP(H33, $N$24:$O$32, 2, FALSE))</f>
        <v>33082.58</v>
      </c>
      <c r="E33" s="221">
        <f>IF(H33="MY", G33, G33 * VLOOKUP(H33, $N$24:$O$32, 2, FALSE))</f>
        <v>40794.639999999999</v>
      </c>
      <c r="F33" s="222">
        <f>(G33/C33)-1</f>
        <v>0.23311543416504987</v>
      </c>
      <c r="G33" s="219">
        <v>40794.639999999999</v>
      </c>
      <c r="H33" s="218" t="s">
        <v>381</v>
      </c>
      <c r="I33" s="217">
        <v>1500</v>
      </c>
      <c r="J33" s="217"/>
      <c r="K33" s="217"/>
      <c r="L33" s="243" t="s">
        <v>476</v>
      </c>
    </row>
    <row r="34" spans="1:18" x14ac:dyDescent="0.45">
      <c r="A34" s="218" t="s">
        <v>359</v>
      </c>
      <c r="B34" s="218" t="s">
        <v>446</v>
      </c>
      <c r="C34" s="219">
        <v>20000</v>
      </c>
      <c r="D34" s="220">
        <f>IF(H34="MY", C34, C34 * VLOOKUP(H34, $N$24:$O$32, 2, FALSE))</f>
        <v>20000</v>
      </c>
      <c r="E34" s="221">
        <f>IF(H34="MY", G34, G34 * VLOOKUP(H34, $N$24:$O$32, 2, FALSE))</f>
        <v>9424.4599999999991</v>
      </c>
      <c r="F34" s="222">
        <f>(G34/C34)-1</f>
        <v>-0.52877700000000005</v>
      </c>
      <c r="G34" s="219">
        <v>9424.4599999999991</v>
      </c>
      <c r="H34" s="218" t="s">
        <v>381</v>
      </c>
      <c r="I34" s="218" t="s">
        <v>445</v>
      </c>
      <c r="J34" s="217">
        <f>95000+7000</f>
        <v>102000</v>
      </c>
      <c r="K34" s="217">
        <f>83000+20000</f>
        <v>103000</v>
      </c>
      <c r="L34" s="243" t="s">
        <v>473</v>
      </c>
    </row>
    <row r="35" spans="1:18" x14ac:dyDescent="0.45">
      <c r="A35" s="218" t="s">
        <v>359</v>
      </c>
      <c r="B35" s="218" t="s">
        <v>453</v>
      </c>
      <c r="C35" s="219">
        <v>150000</v>
      </c>
      <c r="D35" s="220">
        <f>IF(H35="MY", C35, C35 * VLOOKUP(H35, $N$24:$O$32, 2, FALSE))</f>
        <v>150000</v>
      </c>
      <c r="E35" s="221">
        <f>IF(H35="MY", G35, G35 * VLOOKUP(H35, $N$24:$O$32, 2, FALSE))</f>
        <v>157257.21</v>
      </c>
      <c r="F35" s="222">
        <f>(G35/C35)-1</f>
        <v>4.8381400000000019E-2</v>
      </c>
      <c r="G35" s="219">
        <v>157257.21</v>
      </c>
      <c r="H35" s="218" t="s">
        <v>381</v>
      </c>
      <c r="I35" s="218"/>
      <c r="J35" s="217"/>
      <c r="K35" s="217"/>
      <c r="L35" s="243" t="s">
        <v>473</v>
      </c>
    </row>
    <row r="36" spans="1:18" x14ac:dyDescent="0.45">
      <c r="A36" s="218" t="s">
        <v>359</v>
      </c>
      <c r="B36" s="218" t="s">
        <v>454</v>
      </c>
      <c r="C36" s="219">
        <v>150000</v>
      </c>
      <c r="D36" s="220">
        <f>IF(H36="MY", C36, C36 * VLOOKUP(H36, $N$24:$O$32, 2, FALSE))</f>
        <v>150000</v>
      </c>
      <c r="E36" s="221">
        <f>IF(H36="MY", G36, G36 * VLOOKUP(H36, $N$24:$O$32, 2, FALSE))</f>
        <v>152430.81</v>
      </c>
      <c r="F36" s="222">
        <f>(G36/C36)-1</f>
        <v>1.6205400000000036E-2</v>
      </c>
      <c r="G36" s="219">
        <v>152430.81</v>
      </c>
      <c r="H36" s="218" t="s">
        <v>381</v>
      </c>
      <c r="I36" s="218"/>
      <c r="J36" s="217"/>
      <c r="K36" s="217"/>
      <c r="L36" s="243" t="s">
        <v>473</v>
      </c>
    </row>
    <row r="37" spans="1:18" x14ac:dyDescent="0.45">
      <c r="A37" s="218" t="s">
        <v>359</v>
      </c>
      <c r="B37" s="218" t="s">
        <v>455</v>
      </c>
      <c r="C37" s="219"/>
      <c r="D37" s="220">
        <f>IF(H37="MY", C37, C37 * VLOOKUP(H37, $N$24:$O$32, 2, FALSE))</f>
        <v>0</v>
      </c>
      <c r="E37" s="221">
        <f>IF(H37="MY", G37, G37 * VLOOKUP(H37, $N$24:$O$32, 2, FALSE))</f>
        <v>41267.589999999997</v>
      </c>
      <c r="F37" s="222" t="e">
        <f>(E37/C37)-1</f>
        <v>#DIV/0!</v>
      </c>
      <c r="G37" s="219">
        <v>41267.589999999997</v>
      </c>
      <c r="H37" s="218" t="s">
        <v>381</v>
      </c>
      <c r="I37" s="218"/>
      <c r="J37" s="217"/>
      <c r="K37" s="217"/>
      <c r="L37" s="243" t="s">
        <v>473</v>
      </c>
    </row>
    <row r="38" spans="1:18" x14ac:dyDescent="0.45">
      <c r="A38" s="218" t="s">
        <v>359</v>
      </c>
      <c r="B38" s="218" t="s">
        <v>456</v>
      </c>
      <c r="C38" s="219"/>
      <c r="D38" s="220">
        <f>IF(H38="MY", C38, C38 * VLOOKUP(H38, $N$24:$O$32, 2, FALSE))</f>
        <v>0</v>
      </c>
      <c r="E38" s="221">
        <f>IF(H38="MY", G38, G38 * VLOOKUP(H38, $N$24:$O$32, 2, FALSE))</f>
        <v>37441.26</v>
      </c>
      <c r="F38" s="222" t="e">
        <f>(E38/C38)-1</f>
        <v>#DIV/0!</v>
      </c>
      <c r="G38" s="219">
        <v>37441.26</v>
      </c>
      <c r="H38" s="218" t="s">
        <v>381</v>
      </c>
      <c r="I38" s="218"/>
      <c r="J38" s="217"/>
      <c r="K38" s="217"/>
      <c r="L38" s="243" t="s">
        <v>473</v>
      </c>
      <c r="N38" s="242" t="s">
        <v>471</v>
      </c>
      <c r="O38" s="242" t="s">
        <v>362</v>
      </c>
      <c r="P38" s="242" t="s">
        <v>359</v>
      </c>
      <c r="Q38" s="242" t="s">
        <v>376</v>
      </c>
      <c r="R38" s="224" t="s">
        <v>362</v>
      </c>
    </row>
    <row r="39" spans="1:18" x14ac:dyDescent="0.45">
      <c r="A39" s="218" t="s">
        <v>359</v>
      </c>
      <c r="B39" s="218" t="s">
        <v>457</v>
      </c>
      <c r="C39" s="219">
        <v>24000</v>
      </c>
      <c r="D39" s="220">
        <f>IF(H39="MY", C39, C39 * VLOOKUP(H39, $N$24:$O$32, 2, FALSE))</f>
        <v>76308</v>
      </c>
      <c r="E39" s="221">
        <f>IF(H39="MY", G39, G39 * VLOOKUP(H39, $N$24:$O$32, 2, FALSE))</f>
        <v>85110.382159999994</v>
      </c>
      <c r="F39" s="222">
        <f>(G39/C39)-1</f>
        <v>0.11535333333333342</v>
      </c>
      <c r="G39" s="219">
        <v>26768.48</v>
      </c>
      <c r="H39" s="218" t="s">
        <v>449</v>
      </c>
      <c r="I39" s="218"/>
      <c r="J39" s="217"/>
      <c r="K39" s="217"/>
      <c r="L39" s="243" t="s">
        <v>472</v>
      </c>
      <c r="N39" s="218" t="s">
        <v>472</v>
      </c>
      <c r="O39" s="220">
        <f>SUMIFS($E$24:$E$58, $L$24:$L$58, N39)</f>
        <v>1523440.5525200001</v>
      </c>
      <c r="P39" s="220">
        <f>SUMIFS($E$24:$E$58, $L$24:$L$58, N39, $A$24:$A$58, "Self")</f>
        <v>1483731.3625200002</v>
      </c>
      <c r="Q39" s="220">
        <f>SUMIFS($E$24:$E$58, $L$24:$L$58, N39, $A$24:$A$58, "Spouse")</f>
        <v>39709.19</v>
      </c>
      <c r="R39" s="249">
        <f>SUM(P39:Q39)</f>
        <v>1523440.5525200001</v>
      </c>
    </row>
    <row r="40" spans="1:18" x14ac:dyDescent="0.45">
      <c r="A40" s="218" t="s">
        <v>359</v>
      </c>
      <c r="B40" s="218" t="s">
        <v>458</v>
      </c>
      <c r="C40" s="219">
        <v>4900</v>
      </c>
      <c r="D40" s="220">
        <f>IF(H40="MY", C40, C40 * VLOOKUP(H40, $N$24:$O$32, 2, FALSE))</f>
        <v>26891.200000000001</v>
      </c>
      <c r="E40" s="221">
        <f>IF(H40="MY", G40, G40 * VLOOKUP(H40, $N$24:$O$32, 2, FALSE))</f>
        <v>26459.788320000003</v>
      </c>
      <c r="F40" s="222">
        <f>(G40/C40)-1</f>
        <v>-1.6042857142857025E-2</v>
      </c>
      <c r="G40" s="219">
        <v>4821.3900000000003</v>
      </c>
      <c r="H40" s="218" t="s">
        <v>459</v>
      </c>
      <c r="I40" s="218"/>
      <c r="J40" s="217"/>
      <c r="K40" s="217"/>
      <c r="L40" s="243" t="s">
        <v>477</v>
      </c>
      <c r="N40" s="218" t="s">
        <v>473</v>
      </c>
      <c r="O40" s="220">
        <f t="shared" ref="O40:O44" si="10">SUMIFS($E$24:$E$58, $L$24:$L$58, N40)</f>
        <v>1277078.33</v>
      </c>
      <c r="P40" s="220">
        <f t="shared" ref="P40:P44" si="11">SUMIFS($E$24:$E$58, $L$24:$L$58, N40, $A$24:$A$58, "Self")</f>
        <v>1277078.33</v>
      </c>
      <c r="Q40" s="220">
        <f t="shared" ref="Q40:Q44" si="12">SUMIFS($E$24:$E$58, $L$24:$L$58, N40, $A$24:$A$58, "Spouse")</f>
        <v>0</v>
      </c>
      <c r="R40" s="249">
        <f t="shared" ref="R40:R44" si="13">SUM(P40:Q40)</f>
        <v>1277078.33</v>
      </c>
    </row>
    <row r="41" spans="1:18" x14ac:dyDescent="0.45">
      <c r="A41" s="218" t="s">
        <v>359</v>
      </c>
      <c r="B41" s="218" t="s">
        <v>460</v>
      </c>
      <c r="C41" s="219">
        <v>50000</v>
      </c>
      <c r="D41" s="220">
        <f>IF(H41="MY", C41, C41 * VLOOKUP(H41, $N$24:$O$32, 2, FALSE))</f>
        <v>158975</v>
      </c>
      <c r="E41" s="221">
        <f>IF(H41="MY", G41, G41 * VLOOKUP(H41, $N$24:$O$32, 2, FALSE))</f>
        <v>167748.671275</v>
      </c>
      <c r="F41" s="222">
        <f>(G41/C41)-1</f>
        <v>5.5188999999999933E-2</v>
      </c>
      <c r="G41" s="219">
        <v>52759.45</v>
      </c>
      <c r="H41" s="218" t="s">
        <v>449</v>
      </c>
      <c r="I41" s="218"/>
      <c r="J41" s="217"/>
      <c r="K41" s="217"/>
      <c r="L41" s="243" t="s">
        <v>472</v>
      </c>
      <c r="N41" s="218" t="s">
        <v>474</v>
      </c>
      <c r="O41" s="220">
        <f t="shared" si="10"/>
        <v>257003.90104999999</v>
      </c>
      <c r="P41" s="220">
        <f t="shared" si="11"/>
        <v>257003.90104999999</v>
      </c>
      <c r="Q41" s="220">
        <f t="shared" si="12"/>
        <v>0</v>
      </c>
      <c r="R41" s="249">
        <f t="shared" si="13"/>
        <v>257003.90104999999</v>
      </c>
    </row>
    <row r="42" spans="1:18" x14ac:dyDescent="0.45">
      <c r="A42" s="218" t="s">
        <v>359</v>
      </c>
      <c r="B42" s="218" t="s">
        <v>461</v>
      </c>
      <c r="C42" s="219">
        <v>20000</v>
      </c>
      <c r="D42" s="220">
        <f>IF(H42="MY", C42, C42 * VLOOKUP(H42, $N$24:$O$32, 2, FALSE))</f>
        <v>82378</v>
      </c>
      <c r="E42" s="221">
        <f>IF(H42="MY", G42, G42 * VLOOKUP(H42, $N$24:$O$32, 2, FALSE))</f>
        <v>81111.973706999997</v>
      </c>
      <c r="F42" s="222">
        <f>(G42/C42)-1</f>
        <v>-1.5368499999999896E-2</v>
      </c>
      <c r="G42" s="219">
        <v>19692.63</v>
      </c>
      <c r="H42" s="218" t="s">
        <v>371</v>
      </c>
      <c r="I42" s="218"/>
      <c r="J42" s="217"/>
      <c r="K42" s="217"/>
      <c r="L42" s="243" t="s">
        <v>477</v>
      </c>
      <c r="N42" s="218" t="s">
        <v>475</v>
      </c>
      <c r="O42" s="220">
        <f t="shared" si="10"/>
        <v>48723.803117999996</v>
      </c>
      <c r="P42" s="220">
        <f t="shared" si="11"/>
        <v>18342.953118000001</v>
      </c>
      <c r="Q42" s="220">
        <f t="shared" si="12"/>
        <v>30380.85</v>
      </c>
      <c r="R42" s="249">
        <f t="shared" si="13"/>
        <v>48723.803117999996</v>
      </c>
    </row>
    <row r="43" spans="1:18" x14ac:dyDescent="0.45">
      <c r="A43" s="218" t="s">
        <v>359</v>
      </c>
      <c r="B43" s="218" t="s">
        <v>462</v>
      </c>
      <c r="C43" s="219">
        <v>50000</v>
      </c>
      <c r="D43" s="220">
        <f>IF(H43="MY", C43, C43 * VLOOKUP(H43, $N$24:$O$32, 2, FALSE))</f>
        <v>158975</v>
      </c>
      <c r="E43" s="221">
        <f>IF(H43="MY", G43, G43 * VLOOKUP(H43, $N$24:$O$32, 2, FALSE))</f>
        <v>162509.109635</v>
      </c>
      <c r="F43" s="222">
        <f>(G43/C43)-1</f>
        <v>2.2230599999999878E-2</v>
      </c>
      <c r="G43" s="219">
        <v>51111.53</v>
      </c>
      <c r="H43" s="218" t="s">
        <v>449</v>
      </c>
      <c r="I43" s="218"/>
      <c r="J43" s="217"/>
      <c r="K43" s="217"/>
      <c r="L43" s="243" t="s">
        <v>472</v>
      </c>
      <c r="N43" s="218" t="s">
        <v>476</v>
      </c>
      <c r="O43" s="220">
        <f t="shared" si="10"/>
        <v>145044.89000000001</v>
      </c>
      <c r="P43" s="220">
        <f t="shared" si="11"/>
        <v>82700.95</v>
      </c>
      <c r="Q43" s="220">
        <f t="shared" si="12"/>
        <v>62343.94</v>
      </c>
      <c r="R43" s="249">
        <f t="shared" si="13"/>
        <v>145044.89000000001</v>
      </c>
    </row>
    <row r="44" spans="1:18" ht="14.35" thickBot="1" x14ac:dyDescent="0.5">
      <c r="A44" s="218" t="s">
        <v>359</v>
      </c>
      <c r="B44" s="218" t="s">
        <v>463</v>
      </c>
      <c r="C44" s="219">
        <v>55000</v>
      </c>
      <c r="D44" s="220">
        <f>IF(H44="MY", C44, C44 * VLOOKUP(H44, $N$24:$O$32, 2, FALSE))</f>
        <v>55000</v>
      </c>
      <c r="E44" s="221">
        <f>IF(H44="MY", G44, G44 * VLOOKUP(H44, $N$24:$O$32, 2, FALSE))</f>
        <v>55386.92</v>
      </c>
      <c r="F44" s="222">
        <f>(G44/C44)-1</f>
        <v>7.0349090909089806E-3</v>
      </c>
      <c r="G44" s="219">
        <v>55386.92</v>
      </c>
      <c r="H44" s="218" t="s">
        <v>381</v>
      </c>
      <c r="I44" s="218"/>
      <c r="J44" s="217"/>
      <c r="K44" s="217"/>
      <c r="L44" s="243" t="s">
        <v>472</v>
      </c>
      <c r="N44" s="225" t="s">
        <v>477</v>
      </c>
      <c r="O44" s="227">
        <f t="shared" si="10"/>
        <v>1199433.8132269999</v>
      </c>
      <c r="P44" s="220">
        <f t="shared" si="11"/>
        <v>1199433.8132269999</v>
      </c>
      <c r="Q44" s="220">
        <f t="shared" si="12"/>
        <v>0</v>
      </c>
      <c r="R44" s="249">
        <f t="shared" si="13"/>
        <v>1199433.8132269999</v>
      </c>
    </row>
    <row r="45" spans="1:18" ht="14.35" thickBot="1" x14ac:dyDescent="0.5">
      <c r="A45" s="218" t="s">
        <v>359</v>
      </c>
      <c r="B45" s="218" t="s">
        <v>464</v>
      </c>
      <c r="C45" s="219">
        <v>29000</v>
      </c>
      <c r="D45" s="220">
        <f>IF(H45="MY", C45, C45 * VLOOKUP(H45, $N$24:$O$32, 2, FALSE))</f>
        <v>119448.1</v>
      </c>
      <c r="E45" s="221">
        <f>IF(H45="MY", G45, G45 * VLOOKUP(H45, $N$24:$O$32, 2, FALSE))</f>
        <v>131128.600187</v>
      </c>
      <c r="F45" s="222">
        <f>(G45/C45)-1</f>
        <v>9.7787241379310386E-2</v>
      </c>
      <c r="G45" s="219">
        <v>31835.83</v>
      </c>
      <c r="H45" s="218" t="s">
        <v>371</v>
      </c>
      <c r="I45" s="218"/>
      <c r="J45" s="217"/>
      <c r="K45" s="217"/>
      <c r="L45" s="243" t="s">
        <v>472</v>
      </c>
      <c r="N45" s="250" t="s">
        <v>362</v>
      </c>
      <c r="O45" s="252">
        <f>SUM(O39:O44)</f>
        <v>4450725.2899150001</v>
      </c>
      <c r="P45" s="252">
        <f t="shared" ref="P45:R45" si="14">SUM(P39:P44)</f>
        <v>4318291.3099150006</v>
      </c>
      <c r="Q45" s="252">
        <f t="shared" si="14"/>
        <v>132433.98000000001</v>
      </c>
      <c r="R45" s="252">
        <f t="shared" si="14"/>
        <v>4450725.2899150001</v>
      </c>
    </row>
    <row r="46" spans="1:18" x14ac:dyDescent="0.45">
      <c r="A46" s="218" t="s">
        <v>359</v>
      </c>
      <c r="B46" s="218" t="s">
        <v>465</v>
      </c>
      <c r="C46" s="219">
        <v>79000</v>
      </c>
      <c r="D46" s="220">
        <f>IF(H46="MY", C46, C46 * VLOOKUP(H46, $N$24:$O$32, 2, FALSE))</f>
        <v>251180.5</v>
      </c>
      <c r="E46" s="221">
        <f>IF(H46="MY", G46, G46 * VLOOKUP(H46, $N$24:$O$32, 2, FALSE))</f>
        <v>232999.80104999998</v>
      </c>
      <c r="F46" s="222">
        <f>(G46/C46)-1</f>
        <v>-7.2381012658227939E-2</v>
      </c>
      <c r="G46" s="219">
        <v>73281.899999999994</v>
      </c>
      <c r="H46" s="218" t="s">
        <v>449</v>
      </c>
      <c r="I46" s="218"/>
      <c r="J46" s="217"/>
      <c r="K46" s="217"/>
      <c r="L46" s="243" t="s">
        <v>474</v>
      </c>
    </row>
    <row r="47" spans="1:18" x14ac:dyDescent="0.45">
      <c r="A47" s="218" t="s">
        <v>359</v>
      </c>
      <c r="B47" s="218" t="s">
        <v>466</v>
      </c>
      <c r="C47" s="219">
        <v>48000</v>
      </c>
      <c r="D47" s="220">
        <f>IF(H47="MY", C47, C47 * VLOOKUP(H47, $N$24:$O$32, 2, FALSE))</f>
        <v>197707.2</v>
      </c>
      <c r="E47" s="221">
        <f>IF(H47="MY", G47, G47 * VLOOKUP(H47, $N$24:$O$32, 2, FALSE))</f>
        <v>195930.59486300001</v>
      </c>
      <c r="F47" s="222">
        <f>(G47/C47)-1</f>
        <v>-8.986041666666722E-3</v>
      </c>
      <c r="G47" s="219">
        <v>47568.67</v>
      </c>
      <c r="H47" s="218" t="s">
        <v>371</v>
      </c>
      <c r="I47" s="218"/>
      <c r="J47" s="217"/>
      <c r="K47" s="217"/>
      <c r="L47" s="243" t="s">
        <v>472</v>
      </c>
    </row>
    <row r="48" spans="1:18" x14ac:dyDescent="0.45">
      <c r="A48" s="218" t="s">
        <v>359</v>
      </c>
      <c r="B48" s="218" t="s">
        <v>467</v>
      </c>
      <c r="C48" s="219">
        <v>250923.95</v>
      </c>
      <c r="D48" s="220">
        <f>IF(H48="MY", C48, C48 * VLOOKUP(H48, $N$24:$O$32, 2, FALSE))</f>
        <v>797812.69902499998</v>
      </c>
      <c r="E48" s="221">
        <f>IF(H48="MY", G48, G48 * VLOOKUP(H48, $N$24:$O$32, 2, FALSE))</f>
        <v>800089.38</v>
      </c>
      <c r="F48" s="222">
        <f>(G48/C48)-1</f>
        <v>2.8536534675147607E-3</v>
      </c>
      <c r="G48" s="219">
        <v>251640</v>
      </c>
      <c r="H48" s="218" t="s">
        <v>449</v>
      </c>
      <c r="I48" s="218"/>
      <c r="J48" s="217"/>
      <c r="K48" s="217"/>
      <c r="L48" s="243" t="s">
        <v>477</v>
      </c>
      <c r="N48" s="212"/>
    </row>
    <row r="49" spans="1:18" x14ac:dyDescent="0.45">
      <c r="A49" s="218" t="s">
        <v>359</v>
      </c>
      <c r="B49" s="218" t="s">
        <v>424</v>
      </c>
      <c r="C49" s="219">
        <v>1000000</v>
      </c>
      <c r="D49" s="220">
        <f>IF(H49="MY", C49, C49 * VLOOKUP(H49, $N$24:$O$32, 2, FALSE))</f>
        <v>580000</v>
      </c>
      <c r="E49" s="221">
        <f>IF(H49="MY", G49, G49 * VLOOKUP(H49, $N$24:$O$32, 2, FALSE))</f>
        <v>580000</v>
      </c>
      <c r="F49" s="222">
        <f>(G49/C49)-1</f>
        <v>0</v>
      </c>
      <c r="G49" s="219">
        <v>1000000</v>
      </c>
      <c r="H49" s="218" t="s">
        <v>422</v>
      </c>
      <c r="I49" s="217"/>
      <c r="J49" s="217"/>
      <c r="K49" s="217"/>
      <c r="L49" s="243" t="s">
        <v>473</v>
      </c>
    </row>
    <row r="50" spans="1:18" x14ac:dyDescent="0.45">
      <c r="A50" s="218" t="s">
        <v>359</v>
      </c>
      <c r="B50" s="218" t="s">
        <v>427</v>
      </c>
      <c r="C50" s="219">
        <v>470000</v>
      </c>
      <c r="D50" s="220">
        <f>IF(H50="MY", C50, C50 * VLOOKUP(H50, $N$24:$O$32, 2, FALSE))</f>
        <v>272600</v>
      </c>
      <c r="E50" s="221">
        <f>IF(H50="MY", G50, G50 * VLOOKUP(H50, $N$24:$O$32, 2, FALSE))</f>
        <v>273460.54019999999</v>
      </c>
      <c r="F50" s="222">
        <f>(G50/C50)-1</f>
        <v>3.1567872340425573E-3</v>
      </c>
      <c r="G50" s="219">
        <v>471483.69</v>
      </c>
      <c r="H50" s="218" t="s">
        <v>422</v>
      </c>
      <c r="I50" s="217"/>
      <c r="J50" s="217"/>
      <c r="K50" s="217"/>
      <c r="L50" s="243" t="s">
        <v>472</v>
      </c>
    </row>
    <row r="51" spans="1:18" x14ac:dyDescent="0.45">
      <c r="A51" s="218" t="s">
        <v>359</v>
      </c>
      <c r="B51" s="218" t="s">
        <v>428</v>
      </c>
      <c r="C51" s="219">
        <v>30000</v>
      </c>
      <c r="D51" s="220">
        <f>IF(H51="MY", C51, C51 * VLOOKUP(H51, $N$24:$O$32, 2, FALSE))</f>
        <v>17400</v>
      </c>
      <c r="E51" s="221">
        <f>IF(H51="MY", G51, G51 * VLOOKUP(H51, $N$24:$O$32, 2, FALSE))</f>
        <v>23580.764199999998</v>
      </c>
      <c r="F51" s="222">
        <f>(G51/C51)-1</f>
        <v>0.35521633333333336</v>
      </c>
      <c r="G51" s="219">
        <v>40656.49</v>
      </c>
      <c r="H51" s="218" t="s">
        <v>422</v>
      </c>
      <c r="I51" s="217"/>
      <c r="J51" s="217"/>
      <c r="K51" s="217"/>
      <c r="L51" s="243" t="s">
        <v>472</v>
      </c>
    </row>
    <row r="52" spans="1:18" x14ac:dyDescent="0.45">
      <c r="A52" s="218" t="s">
        <v>359</v>
      </c>
      <c r="B52" s="218" t="s">
        <v>442</v>
      </c>
      <c r="C52" s="219">
        <v>61260</v>
      </c>
      <c r="D52" s="220">
        <f>IF(H52="MY", C52, C52 * VLOOKUP(H52, $N$24:$O$32, 2, FALSE))</f>
        <v>139562.53200000001</v>
      </c>
      <c r="E52" s="221">
        <f>IF(H52="MY", G52, G52 * VLOOKUP(H52, $N$24:$O$32, 2, FALSE))</f>
        <v>124594.758</v>
      </c>
      <c r="F52" s="222">
        <f>(G52/C52)-1</f>
        <v>-0.10724779627815861</v>
      </c>
      <c r="G52" s="219">
        <v>54690</v>
      </c>
      <c r="H52" s="218" t="s">
        <v>441</v>
      </c>
      <c r="I52" s="217"/>
      <c r="J52" s="217"/>
      <c r="K52" s="217"/>
      <c r="L52" s="243" t="s">
        <v>477</v>
      </c>
    </row>
    <row r="53" spans="1:18" x14ac:dyDescent="0.45">
      <c r="A53" s="218" t="s">
        <v>359</v>
      </c>
      <c r="B53" s="218" t="s">
        <v>443</v>
      </c>
      <c r="C53" s="219">
        <v>47960</v>
      </c>
      <c r="D53" s="220">
        <f>IF(H53="MY", C53, C53 * VLOOKUP(H53, $N$24:$O$32, 2, FALSE))</f>
        <v>197542.44399999999</v>
      </c>
      <c r="E53" s="221">
        <f>IF(H53="MY", G53, G53 * VLOOKUP(H53, $N$24:$O$32, 2, FALSE))</f>
        <v>167177.91320000001</v>
      </c>
      <c r="F53" s="222">
        <f>(G53/C53)-1</f>
        <v>-0.15371142618849043</v>
      </c>
      <c r="G53" s="219">
        <v>40588</v>
      </c>
      <c r="H53" s="218" t="s">
        <v>371</v>
      </c>
      <c r="I53" s="217"/>
      <c r="J53" s="217"/>
      <c r="K53" s="217"/>
      <c r="L53" s="243" t="s">
        <v>477</v>
      </c>
    </row>
    <row r="54" spans="1:18" x14ac:dyDescent="0.45">
      <c r="A54" s="218" t="s">
        <v>376</v>
      </c>
      <c r="B54" s="218" t="s">
        <v>403</v>
      </c>
      <c r="C54" s="219">
        <v>30380.85</v>
      </c>
      <c r="D54" s="220">
        <f>IF(H54="MY", C54, C54 * VLOOKUP(H54, $N$24:$O$32, 2, FALSE))</f>
        <v>30380.85</v>
      </c>
      <c r="E54" s="221">
        <f>IF(H54="MY", G54, G54 * VLOOKUP(H54, $N$24:$O$32, 2, FALSE))</f>
        <v>30380.85</v>
      </c>
      <c r="F54" s="222">
        <f>(G54/C54)-1</f>
        <v>0</v>
      </c>
      <c r="G54" s="219">
        <v>30380.85</v>
      </c>
      <c r="H54" s="218" t="s">
        <v>381</v>
      </c>
      <c r="I54" s="217"/>
      <c r="J54" s="217"/>
      <c r="K54" s="217"/>
      <c r="L54" s="243" t="s">
        <v>475</v>
      </c>
    </row>
    <row r="55" spans="1:18" x14ac:dyDescent="0.45">
      <c r="A55" s="218" t="s">
        <v>376</v>
      </c>
      <c r="B55" s="218" t="s">
        <v>407</v>
      </c>
      <c r="C55" s="219">
        <v>25025.14</v>
      </c>
      <c r="D55" s="220">
        <f>IF(H55="MY", C55, C55 * VLOOKUP(H55, $N$24:$O$32, 2, FALSE))</f>
        <v>25025.14</v>
      </c>
      <c r="E55" s="221">
        <f>IF(H55="MY", G55, G55 * VLOOKUP(H55, $N$24:$O$32, 2, FALSE))</f>
        <v>29978.94</v>
      </c>
      <c r="F55" s="222">
        <f>(G55/C55)-1</f>
        <v>0.19795293852501916</v>
      </c>
      <c r="G55" s="219">
        <v>29978.94</v>
      </c>
      <c r="H55" s="218" t="s">
        <v>381</v>
      </c>
      <c r="I55" s="217">
        <v>1500</v>
      </c>
      <c r="J55" s="217"/>
      <c r="K55" s="217"/>
      <c r="L55" s="243" t="s">
        <v>476</v>
      </c>
    </row>
    <row r="56" spans="1:18" x14ac:dyDescent="0.45">
      <c r="A56" s="218" t="s">
        <v>376</v>
      </c>
      <c r="B56" s="218" t="s">
        <v>408</v>
      </c>
      <c r="C56" s="219">
        <v>23665.49</v>
      </c>
      <c r="D56" s="220">
        <f>IF(H56="MY", C56, C56 * VLOOKUP(H56, $N$24:$O$32, 2, FALSE))</f>
        <v>23665.49</v>
      </c>
      <c r="E56" s="221">
        <f>IF(H56="MY", G56, G56 * VLOOKUP(H56, $N$24:$O$32, 2, FALSE))</f>
        <v>29305.33</v>
      </c>
      <c r="F56" s="222">
        <f>(G56/C56)-1</f>
        <v>0.23831494720793867</v>
      </c>
      <c r="G56" s="219">
        <v>29305.33</v>
      </c>
      <c r="H56" s="218" t="s">
        <v>381</v>
      </c>
      <c r="I56" s="217">
        <v>1500</v>
      </c>
      <c r="J56" s="217"/>
      <c r="K56" s="217"/>
      <c r="L56" s="243" t="s">
        <v>476</v>
      </c>
    </row>
    <row r="57" spans="1:18" x14ac:dyDescent="0.45">
      <c r="A57" s="218" t="s">
        <v>376</v>
      </c>
      <c r="B57" s="218" t="s">
        <v>409</v>
      </c>
      <c r="C57" s="219">
        <v>3015.78</v>
      </c>
      <c r="D57" s="220">
        <f>IF(H57="MY", C57, C57 * VLOOKUP(H57, $N$24:$O$32, 2, FALSE))</f>
        <v>3015.78</v>
      </c>
      <c r="E57" s="221">
        <f>IF(H57="MY", G57, G57 * VLOOKUP(H57, $N$24:$O$32, 2, FALSE))</f>
        <v>3059.67</v>
      </c>
      <c r="F57" s="222">
        <f>(G57/C57)-1</f>
        <v>1.4553448859001561E-2</v>
      </c>
      <c r="G57" s="219">
        <v>3059.67</v>
      </c>
      <c r="H57" s="218" t="s">
        <v>381</v>
      </c>
      <c r="I57" s="217"/>
      <c r="J57" s="217"/>
      <c r="K57" s="217"/>
      <c r="L57" s="243" t="s">
        <v>476</v>
      </c>
    </row>
    <row r="58" spans="1:18" ht="14.35" thickBot="1" x14ac:dyDescent="0.5">
      <c r="A58" s="218" t="s">
        <v>376</v>
      </c>
      <c r="B58" s="225" t="s">
        <v>418</v>
      </c>
      <c r="C58" s="226">
        <v>40000</v>
      </c>
      <c r="D58" s="227">
        <f>IF(H58="MY", C58, C58 * VLOOKUP(H58, $N$24:$O$32, 2, FALSE))</f>
        <v>40000</v>
      </c>
      <c r="E58" s="228">
        <f>IF(H58="MY", G58, G58 * VLOOKUP(H58, $N$24:$O$32, 2, FALSE))</f>
        <v>39709.19</v>
      </c>
      <c r="F58" s="229">
        <f>(G58/C58)-1</f>
        <v>-7.2702499999999226E-3</v>
      </c>
      <c r="G58" s="219">
        <v>39709.19</v>
      </c>
      <c r="H58" s="218" t="s">
        <v>381</v>
      </c>
      <c r="I58" s="217"/>
      <c r="J58" s="217"/>
      <c r="K58" s="217"/>
      <c r="L58" s="243" t="s">
        <v>472</v>
      </c>
    </row>
    <row r="59" spans="1:18" s="214" customFormat="1" ht="14.35" thickBot="1" x14ac:dyDescent="0.5">
      <c r="A59" s="213"/>
      <c r="B59" s="230" t="s">
        <v>362</v>
      </c>
      <c r="C59" s="231"/>
      <c r="D59" s="232">
        <f>SUM(D24:D58)</f>
        <v>4376907.3881430002</v>
      </c>
      <c r="E59" s="232">
        <f>SUM(E24:E58)</f>
        <v>4450725.2899150001</v>
      </c>
      <c r="F59" s="233">
        <f>(E59/D59)-1</f>
        <v>1.6865310418029855E-2</v>
      </c>
      <c r="G59" s="216"/>
      <c r="H59" s="213"/>
    </row>
    <row r="60" spans="1:18" s="214" customFormat="1" x14ac:dyDescent="0.45">
      <c r="A60" s="213"/>
      <c r="B60" s="213"/>
      <c r="D60" s="215"/>
      <c r="F60" s="216"/>
      <c r="G60" s="213"/>
    </row>
    <row r="61" spans="1:18" s="214" customFormat="1" x14ac:dyDescent="0.45">
      <c r="A61" s="213"/>
      <c r="B61" s="213"/>
      <c r="D61" s="215"/>
      <c r="F61" s="216"/>
      <c r="G61" s="213"/>
    </row>
    <row r="62" spans="1:18" s="214" customFormat="1" x14ac:dyDescent="0.45">
      <c r="A62" s="213"/>
      <c r="B62" s="213"/>
      <c r="D62" s="215"/>
      <c r="F62" s="216"/>
      <c r="G62" s="213"/>
    </row>
    <row r="63" spans="1:18" s="214" customFormat="1" x14ac:dyDescent="0.45">
      <c r="A63" s="213"/>
      <c r="B63" s="213"/>
      <c r="D63" s="215"/>
      <c r="F63" s="216"/>
      <c r="G63" s="213"/>
    </row>
    <row r="64" spans="1:18" ht="14.35" thickBot="1" x14ac:dyDescent="0.5">
      <c r="A64" s="242"/>
      <c r="B64" s="242" t="s">
        <v>411</v>
      </c>
      <c r="C64" s="242" t="s">
        <v>468</v>
      </c>
      <c r="D64" s="242" t="s">
        <v>469</v>
      </c>
      <c r="E64" s="242" t="s">
        <v>352</v>
      </c>
      <c r="F64" s="242" t="s">
        <v>353</v>
      </c>
      <c r="G64" s="242" t="s">
        <v>378</v>
      </c>
      <c r="H64" s="242" t="s">
        <v>406</v>
      </c>
      <c r="I64" s="242" t="s">
        <v>471</v>
      </c>
      <c r="N64" s="242" t="s">
        <v>471</v>
      </c>
      <c r="O64" s="242" t="s">
        <v>362</v>
      </c>
      <c r="P64" s="242" t="s">
        <v>359</v>
      </c>
      <c r="Q64" s="242" t="s">
        <v>376</v>
      </c>
      <c r="R64" s="224" t="s">
        <v>362</v>
      </c>
    </row>
    <row r="65" spans="1:18" ht="14.35" thickBot="1" x14ac:dyDescent="0.5">
      <c r="A65" s="218" t="s">
        <v>359</v>
      </c>
      <c r="B65" s="218" t="s">
        <v>412</v>
      </c>
      <c r="C65" s="235">
        <v>132279.26</v>
      </c>
      <c r="D65" s="220">
        <f>IF(H65="MY", C65, C65 * VLOOKUP(H65, $N$24:$O$32, 2, FALSE))</f>
        <v>132279.26</v>
      </c>
      <c r="E65" s="221">
        <f t="shared" ref="E65:E70" si="15">G65*1</f>
        <v>132279.26</v>
      </c>
      <c r="F65" s="222">
        <f>(G65/C65)-1</f>
        <v>0</v>
      </c>
      <c r="G65" s="219">
        <v>132279.26</v>
      </c>
      <c r="H65" s="218" t="s">
        <v>381</v>
      </c>
      <c r="I65" s="218" t="s">
        <v>475</v>
      </c>
      <c r="N65" s="218" t="s">
        <v>479</v>
      </c>
      <c r="O65" s="220">
        <f>SUMIFS($E$65:$E$94, $I$65:$I$94, N65)</f>
        <v>56546.1</v>
      </c>
      <c r="P65" s="220">
        <f>SUMIFS($E$65:$E$94, $I$65:$I$94, N65, $A$65:$A$94, "Self")</f>
        <v>0</v>
      </c>
      <c r="Q65" s="220">
        <f>SUMIFS($E$65:$E$94, $I$65:$I$94, N65, $A$65:$A$94, "Spouse")</f>
        <v>56546.1</v>
      </c>
      <c r="R65" s="251">
        <f>SUM(P65:Q65)</f>
        <v>56546.1</v>
      </c>
    </row>
    <row r="66" spans="1:18" ht="14.35" thickBot="1" x14ac:dyDescent="0.5">
      <c r="A66" s="218" t="s">
        <v>359</v>
      </c>
      <c r="B66" s="218" t="s">
        <v>413</v>
      </c>
      <c r="C66" s="235">
        <v>3994.29</v>
      </c>
      <c r="D66" s="220">
        <f>IF(H66="MY", C66, C66 * VLOOKUP(H66, $N$24:$O$32, 2, FALSE))</f>
        <v>3994.29</v>
      </c>
      <c r="E66" s="221">
        <f t="shared" si="15"/>
        <v>3994.29</v>
      </c>
      <c r="F66" s="222">
        <f>(G66/C66)-1</f>
        <v>0</v>
      </c>
      <c r="G66" s="219">
        <v>3994.29</v>
      </c>
      <c r="H66" s="218" t="s">
        <v>381</v>
      </c>
      <c r="I66" s="218" t="s">
        <v>475</v>
      </c>
      <c r="N66" s="218" t="s">
        <v>475</v>
      </c>
      <c r="O66" s="220">
        <f>SUMIFS($E$65:$E$94, $I$65:$I$94, N66)</f>
        <v>770000.56042900006</v>
      </c>
      <c r="P66" s="220">
        <f>SUMIFS($E$65:$E$94, $I$65:$I$94, N66, $A$65:$A$94, "Self")</f>
        <v>560597.07787899999</v>
      </c>
      <c r="Q66" s="220">
        <f>SUMIFS($E$65:$E$94, $I$65:$I$94, N66, $A$65:$A$94, "Spouse")</f>
        <v>209403.48255000002</v>
      </c>
      <c r="R66" s="251">
        <f>SUM(P66:Q66)</f>
        <v>770000.56042900006</v>
      </c>
    </row>
    <row r="67" spans="1:18" ht="14.35" thickBot="1" x14ac:dyDescent="0.5">
      <c r="A67" s="218" t="s">
        <v>359</v>
      </c>
      <c r="B67" s="218" t="s">
        <v>432</v>
      </c>
      <c r="C67" s="235">
        <v>4075.32</v>
      </c>
      <c r="D67" s="220">
        <f>IF(H67="MY", C67, C67 * VLOOKUP(H67, $N$24:$O$32, 2, FALSE))</f>
        <v>4075.32</v>
      </c>
      <c r="E67" s="221">
        <f t="shared" si="15"/>
        <v>4075.32</v>
      </c>
      <c r="F67" s="222">
        <f>(G67/C67)-1</f>
        <v>0</v>
      </c>
      <c r="G67" s="219">
        <v>4075.32</v>
      </c>
      <c r="H67" s="218" t="s">
        <v>381</v>
      </c>
      <c r="I67" s="218" t="s">
        <v>475</v>
      </c>
      <c r="N67" s="210" t="s">
        <v>480</v>
      </c>
      <c r="O67" s="220">
        <f>SUMIFS($E$65:$E$94, $I$65:$I$94, N67)</f>
        <v>673967.16</v>
      </c>
      <c r="P67" s="220">
        <f>SUMIFS($E$65:$E$94, $I$65:$I$94, N67, $A$65:$A$94, "Self")</f>
        <v>478847.7</v>
      </c>
      <c r="Q67" s="220">
        <f>SUMIFS($E$65:$E$94, $I$65:$I$94, N67, $A$65:$A$94, "Spouse")</f>
        <v>195119.46</v>
      </c>
      <c r="R67" s="251">
        <f>SUM(P67:Q67)</f>
        <v>673967.16</v>
      </c>
    </row>
    <row r="68" spans="1:18" ht="14.35" thickBot="1" x14ac:dyDescent="0.5">
      <c r="A68" s="218" t="s">
        <v>359</v>
      </c>
      <c r="B68" s="218" t="s">
        <v>444</v>
      </c>
      <c r="C68" s="235">
        <v>885.55</v>
      </c>
      <c r="D68" s="220">
        <f>IF(H68="MY", C68, C68 * VLOOKUP(H68, $N$24:$O$32, 2, FALSE))</f>
        <v>885.55</v>
      </c>
      <c r="E68" s="221">
        <f t="shared" si="15"/>
        <v>885.55</v>
      </c>
      <c r="F68" s="222">
        <f>(G68/C68)-1</f>
        <v>0</v>
      </c>
      <c r="G68" s="219">
        <v>885.55</v>
      </c>
      <c r="H68" s="218" t="s">
        <v>381</v>
      </c>
      <c r="I68" s="218" t="s">
        <v>475</v>
      </c>
      <c r="N68" s="250" t="s">
        <v>362</v>
      </c>
      <c r="O68" s="251">
        <f>SUM(O65:O67)</f>
        <v>1500513.8204290001</v>
      </c>
      <c r="P68" s="251">
        <f t="shared" ref="P68:R68" si="16">SUM(P65:P67)</f>
        <v>1039444.7778789999</v>
      </c>
      <c r="Q68" s="251">
        <f t="shared" si="16"/>
        <v>461069.04255000001</v>
      </c>
      <c r="R68" s="251">
        <f t="shared" si="16"/>
        <v>1500513.8204290001</v>
      </c>
    </row>
    <row r="69" spans="1:18" x14ac:dyDescent="0.45">
      <c r="A69" s="218" t="s">
        <v>359</v>
      </c>
      <c r="B69" s="218" t="s">
        <v>447</v>
      </c>
      <c r="C69" s="235">
        <v>5445.11</v>
      </c>
      <c r="D69" s="220">
        <f>IF(H69="MY", C69, C69 * VLOOKUP(H69, $N$24:$O$32, 2, FALSE))</f>
        <v>5445.11</v>
      </c>
      <c r="E69" s="221">
        <f t="shared" si="15"/>
        <v>5445.11</v>
      </c>
      <c r="F69" s="222">
        <f>(G69/C69)-1</f>
        <v>0</v>
      </c>
      <c r="G69" s="219">
        <v>5445.11</v>
      </c>
      <c r="H69" s="218" t="s">
        <v>381</v>
      </c>
      <c r="I69" s="218" t="s">
        <v>475</v>
      </c>
    </row>
    <row r="70" spans="1:18" x14ac:dyDescent="0.45">
      <c r="A70" s="218" t="s">
        <v>359</v>
      </c>
      <c r="B70" s="218" t="s">
        <v>448</v>
      </c>
      <c r="C70" s="235">
        <v>10109</v>
      </c>
      <c r="D70" s="220">
        <f>IF(H70="MY", C70, C70 * VLOOKUP(H70, $N$24:$O$32, 2, FALSE))</f>
        <v>10109</v>
      </c>
      <c r="E70" s="221">
        <f t="shared" si="15"/>
        <v>10109</v>
      </c>
      <c r="F70" s="222">
        <f>(G70/C70)-1</f>
        <v>0</v>
      </c>
      <c r="G70" s="219">
        <v>10109</v>
      </c>
      <c r="H70" s="218" t="s">
        <v>381</v>
      </c>
      <c r="I70" s="218" t="s">
        <v>475</v>
      </c>
    </row>
    <row r="71" spans="1:18" x14ac:dyDescent="0.45">
      <c r="A71" s="218" t="s">
        <v>359</v>
      </c>
      <c r="B71" s="218" t="s">
        <v>448</v>
      </c>
      <c r="C71" s="235">
        <v>44816.639999999999</v>
      </c>
      <c r="D71" s="220">
        <f>IF(H71="MY", C71, C71 * VLOOKUP(H71, $N$24:$O$32, 2, FALSE))</f>
        <v>142494.50688</v>
      </c>
      <c r="E71" s="234">
        <f>G71*3.1795</f>
        <v>142494.50688</v>
      </c>
      <c r="F71" s="222">
        <f>(G71/C71)-1</f>
        <v>0</v>
      </c>
      <c r="G71" s="219">
        <v>44816.639999999999</v>
      </c>
      <c r="H71" s="218" t="s">
        <v>449</v>
      </c>
      <c r="I71" s="218" t="s">
        <v>475</v>
      </c>
    </row>
    <row r="72" spans="1:18" x14ac:dyDescent="0.45">
      <c r="A72" s="218" t="s">
        <v>359</v>
      </c>
      <c r="B72" s="218" t="s">
        <v>448</v>
      </c>
      <c r="C72" s="235">
        <v>528.82000000000005</v>
      </c>
      <c r="D72" s="220">
        <f>IF(H72="MY", C72, C72 * VLOOKUP(H72, $N$24:$O$32, 2, FALSE))</f>
        <v>2178.1566980000002</v>
      </c>
      <c r="E72" s="221">
        <f>G72*4.1189</f>
        <v>2178.1566980000002</v>
      </c>
      <c r="F72" s="222">
        <f>(G72/C72)-1</f>
        <v>0</v>
      </c>
      <c r="G72" s="219">
        <v>528.82000000000005</v>
      </c>
      <c r="H72" s="218" t="s">
        <v>371</v>
      </c>
      <c r="I72" s="218" t="s">
        <v>475</v>
      </c>
    </row>
    <row r="73" spans="1:18" x14ac:dyDescent="0.45">
      <c r="A73" s="218" t="s">
        <v>359</v>
      </c>
      <c r="B73" s="218" t="s">
        <v>450</v>
      </c>
      <c r="C73" s="235">
        <v>41988.21</v>
      </c>
      <c r="D73" s="220">
        <f>IF(H73="MY", C73, C73 * VLOOKUP(H73, $N$24:$O$32, 2, FALSE))</f>
        <v>41988.21</v>
      </c>
      <c r="E73" s="221">
        <f t="shared" ref="E73" si="17">G73*1</f>
        <v>41988.21</v>
      </c>
      <c r="F73" s="222">
        <f>(G73/C73)-1</f>
        <v>0</v>
      </c>
      <c r="G73" s="219">
        <v>41988.21</v>
      </c>
      <c r="H73" s="218" t="s">
        <v>381</v>
      </c>
      <c r="I73" s="218" t="s">
        <v>475</v>
      </c>
    </row>
    <row r="74" spans="1:18" x14ac:dyDescent="0.45">
      <c r="A74" s="218" t="s">
        <v>359</v>
      </c>
      <c r="B74" s="218" t="s">
        <v>451</v>
      </c>
      <c r="C74" s="235">
        <v>3803.21</v>
      </c>
      <c r="D74" s="220">
        <f>IF(H74="MY", C74, C74 * VLOOKUP(H74, $N$24:$O$32, 2, FALSE))</f>
        <v>12092.306194999999</v>
      </c>
      <c r="E74" s="234">
        <f>G74*3.1795</f>
        <v>12092.306194999999</v>
      </c>
      <c r="F74" s="222">
        <f>(G74/C74)-1</f>
        <v>0</v>
      </c>
      <c r="G74" s="219">
        <v>3803.21</v>
      </c>
      <c r="H74" s="218" t="s">
        <v>449</v>
      </c>
      <c r="I74" s="218" t="s">
        <v>475</v>
      </c>
    </row>
    <row r="75" spans="1:18" x14ac:dyDescent="0.45">
      <c r="A75" s="218" t="s">
        <v>359</v>
      </c>
      <c r="B75" s="218" t="s">
        <v>452</v>
      </c>
      <c r="C75" s="235">
        <v>3172.11</v>
      </c>
      <c r="D75" s="220">
        <f>IF(H75="MY", C75, C75 * VLOOKUP(H75, $N$24:$O$32, 2, FALSE))</f>
        <v>10085.723745000001</v>
      </c>
      <c r="E75" s="234">
        <f>G75*3.1795</f>
        <v>10085.723745000001</v>
      </c>
      <c r="F75" s="222">
        <f>(G75/C75)-1</f>
        <v>0</v>
      </c>
      <c r="G75" s="219">
        <v>3172.11</v>
      </c>
      <c r="H75" s="218" t="s">
        <v>449</v>
      </c>
      <c r="I75" s="218" t="s">
        <v>475</v>
      </c>
    </row>
    <row r="76" spans="1:18" x14ac:dyDescent="0.45">
      <c r="A76" s="218" t="s">
        <v>359</v>
      </c>
      <c r="B76" s="218" t="s">
        <v>420</v>
      </c>
      <c r="C76" s="235">
        <v>3157.72</v>
      </c>
      <c r="D76" s="220">
        <f>IF(H76="MY", C76, C76 * VLOOKUP(H76, $N$24:$O$32, 2, FALSE))</f>
        <v>1831.4775999999997</v>
      </c>
      <c r="E76" s="234">
        <f>G76*0.58</f>
        <v>1831.4775999999997</v>
      </c>
      <c r="F76" s="222">
        <f>(G76/C76)-1</f>
        <v>0</v>
      </c>
      <c r="G76" s="219">
        <v>3157.72</v>
      </c>
      <c r="H76" s="218" t="s">
        <v>422</v>
      </c>
      <c r="I76" s="218" t="s">
        <v>475</v>
      </c>
    </row>
    <row r="77" spans="1:18" x14ac:dyDescent="0.45">
      <c r="A77" s="218" t="s">
        <v>359</v>
      </c>
      <c r="B77" s="218" t="s">
        <v>421</v>
      </c>
      <c r="C77" s="235">
        <v>66180.350000000006</v>
      </c>
      <c r="D77" s="220">
        <f>IF(H77="MY", C77, C77 * VLOOKUP(H77, $N$24:$O$32, 2, FALSE))</f>
        <v>38384.603000000003</v>
      </c>
      <c r="E77" s="234">
        <f>G77*0.58</f>
        <v>38384.603000000003</v>
      </c>
      <c r="F77" s="222">
        <f>(G77/C77)-1</f>
        <v>0</v>
      </c>
      <c r="G77" s="219">
        <v>66180.350000000006</v>
      </c>
      <c r="H77" s="218" t="s">
        <v>422</v>
      </c>
      <c r="I77" s="218" t="s">
        <v>475</v>
      </c>
    </row>
    <row r="78" spans="1:18" x14ac:dyDescent="0.45">
      <c r="A78" s="218" t="s">
        <v>359</v>
      </c>
      <c r="B78" s="218" t="s">
        <v>425</v>
      </c>
      <c r="C78" s="235">
        <v>2178.14</v>
      </c>
      <c r="D78" s="220">
        <f>IF(H78="MY", C78, C78 * VLOOKUP(H78, $N$24:$O$32, 2, FALSE))</f>
        <v>1263.3211999999999</v>
      </c>
      <c r="E78" s="234">
        <f>G78*0.58</f>
        <v>1263.3211999999999</v>
      </c>
      <c r="F78" s="222">
        <f>(G78/C78)-1</f>
        <v>0</v>
      </c>
      <c r="G78" s="219">
        <v>2178.14</v>
      </c>
      <c r="H78" s="218" t="s">
        <v>422</v>
      </c>
      <c r="I78" s="218" t="s">
        <v>475</v>
      </c>
    </row>
    <row r="79" spans="1:18" x14ac:dyDescent="0.45">
      <c r="A79" s="218" t="s">
        <v>359</v>
      </c>
      <c r="B79" s="218" t="s">
        <v>425</v>
      </c>
      <c r="C79" s="235">
        <v>124.65</v>
      </c>
      <c r="D79" s="220">
        <f>IF(H79="MY", C79, C79 * VLOOKUP(H79, $N$24:$O$32, 2, FALSE))</f>
        <v>513.420885</v>
      </c>
      <c r="E79" s="234">
        <f>G79*4.1189</f>
        <v>513.420885</v>
      </c>
      <c r="F79" s="222">
        <f>(G79/C79)-1</f>
        <v>0</v>
      </c>
      <c r="G79" s="219">
        <v>124.65</v>
      </c>
      <c r="H79" s="218" t="s">
        <v>371</v>
      </c>
      <c r="I79" s="218" t="s">
        <v>475</v>
      </c>
    </row>
    <row r="80" spans="1:18" x14ac:dyDescent="0.45">
      <c r="A80" s="218" t="s">
        <v>359</v>
      </c>
      <c r="B80" s="218" t="s">
        <v>426</v>
      </c>
      <c r="C80" s="235">
        <v>320.04000000000002</v>
      </c>
      <c r="D80" s="220">
        <f>IF(H80="MY", C80, C80 * VLOOKUP(H80, $N$24:$O$32, 2, FALSE))</f>
        <v>185.6232</v>
      </c>
      <c r="E80" s="234">
        <f t="shared" ref="E80:E82" si="18">G80*0.58</f>
        <v>185.6232</v>
      </c>
      <c r="F80" s="222">
        <f>(G80/C80)-1</f>
        <v>0</v>
      </c>
      <c r="G80" s="219">
        <v>320.04000000000002</v>
      </c>
      <c r="H80" s="218" t="s">
        <v>422</v>
      </c>
      <c r="I80" s="218" t="s">
        <v>475</v>
      </c>
    </row>
    <row r="81" spans="1:9" x14ac:dyDescent="0.45">
      <c r="A81" s="218" t="s">
        <v>359</v>
      </c>
      <c r="B81" s="218" t="s">
        <v>429</v>
      </c>
      <c r="C81" s="235">
        <v>23190.11</v>
      </c>
      <c r="D81" s="220">
        <f>IF(H81="MY", C81, C81 * VLOOKUP(H81, $N$24:$O$32, 2, FALSE))</f>
        <v>13450.263799999999</v>
      </c>
      <c r="E81" s="234">
        <f t="shared" si="18"/>
        <v>13450.263799999999</v>
      </c>
      <c r="F81" s="222">
        <f>(G81/C81)-1</f>
        <v>0</v>
      </c>
      <c r="G81" s="219">
        <v>23190.11</v>
      </c>
      <c r="H81" s="218" t="s">
        <v>422</v>
      </c>
      <c r="I81" s="218" t="s">
        <v>475</v>
      </c>
    </row>
    <row r="82" spans="1:9" x14ac:dyDescent="0.45">
      <c r="A82" s="218" t="s">
        <v>359</v>
      </c>
      <c r="B82" s="218" t="s">
        <v>430</v>
      </c>
      <c r="C82" s="235">
        <v>337.98</v>
      </c>
      <c r="D82" s="220">
        <f>IF(H82="MY", C82, C82 * VLOOKUP(H82, $N$24:$O$32, 2, FALSE))</f>
        <v>196.0284</v>
      </c>
      <c r="E82" s="234">
        <f t="shared" si="18"/>
        <v>196.0284</v>
      </c>
      <c r="F82" s="222">
        <f>(G82/C82)-1</f>
        <v>0</v>
      </c>
      <c r="G82" s="219">
        <v>337.98</v>
      </c>
      <c r="H82" s="218" t="s">
        <v>422</v>
      </c>
      <c r="I82" s="218" t="s">
        <v>475</v>
      </c>
    </row>
    <row r="83" spans="1:9" x14ac:dyDescent="0.45">
      <c r="A83" s="218" t="s">
        <v>359</v>
      </c>
      <c r="B83" s="218" t="s">
        <v>430</v>
      </c>
      <c r="C83" s="235">
        <v>120.34</v>
      </c>
      <c r="D83" s="220">
        <f>IF(H83="MY", C83, C83 * VLOOKUP(H83, $N$24:$O$32, 2, FALSE))</f>
        <v>495.66842600000001</v>
      </c>
      <c r="E83" s="234">
        <f>G83*4.1189</f>
        <v>495.66842600000001</v>
      </c>
      <c r="F83" s="222">
        <f>(G83/C83)-1</f>
        <v>0</v>
      </c>
      <c r="G83" s="219">
        <v>120.34</v>
      </c>
      <c r="H83" s="218" t="s">
        <v>371</v>
      </c>
      <c r="I83" s="218" t="s">
        <v>475</v>
      </c>
    </row>
    <row r="84" spans="1:9" x14ac:dyDescent="0.45">
      <c r="A84" s="218" t="s">
        <v>359</v>
      </c>
      <c r="B84" s="218" t="s">
        <v>431</v>
      </c>
      <c r="C84" s="235">
        <v>487.32</v>
      </c>
      <c r="D84" s="220">
        <f>IF(H84="MY", C84, C84 * VLOOKUP(H84, $N$24:$O$32, 2, FALSE))</f>
        <v>2007.222348</v>
      </c>
      <c r="E84" s="234">
        <f>G84*4.1189</f>
        <v>2007.222348</v>
      </c>
      <c r="F84" s="222">
        <f>(G84/C84)-1</f>
        <v>0</v>
      </c>
      <c r="G84" s="219">
        <v>487.32</v>
      </c>
      <c r="H84" s="218" t="s">
        <v>371</v>
      </c>
      <c r="I84" s="218" t="s">
        <v>475</v>
      </c>
    </row>
    <row r="85" spans="1:9" x14ac:dyDescent="0.45">
      <c r="A85" s="218" t="s">
        <v>359</v>
      </c>
      <c r="B85" s="218" t="s">
        <v>438</v>
      </c>
      <c r="C85" s="235">
        <v>570948</v>
      </c>
      <c r="D85" s="220">
        <f>IF(H85="MY", C85, C85 * VLOOKUP(H85, $N$24:$O$32, 2, FALSE))</f>
        <v>75365.135999999999</v>
      </c>
      <c r="E85" s="234">
        <f>G85*0.132</f>
        <v>75365.135999999999</v>
      </c>
      <c r="F85" s="222">
        <f>(G85/C85)-1</f>
        <v>0</v>
      </c>
      <c r="G85" s="219">
        <v>570948</v>
      </c>
      <c r="H85" s="218" t="s">
        <v>439</v>
      </c>
      <c r="I85" s="218" t="s">
        <v>475</v>
      </c>
    </row>
    <row r="86" spans="1:9" x14ac:dyDescent="0.45">
      <c r="A86" s="218" t="s">
        <v>359</v>
      </c>
      <c r="B86" s="218" t="s">
        <v>440</v>
      </c>
      <c r="C86" s="235">
        <v>9920.2000000000007</v>
      </c>
      <c r="D86" s="220">
        <f>IF(H86="MY", C86, C86 * VLOOKUP(H86, $N$24:$O$32, 2, FALSE))</f>
        <v>40860.311780000004</v>
      </c>
      <c r="E86" s="234">
        <f>G86*4.1189</f>
        <v>40860.311780000004</v>
      </c>
      <c r="F86" s="222">
        <f>(G86/C86)-1</f>
        <v>0</v>
      </c>
      <c r="G86" s="219">
        <v>9920.2000000000007</v>
      </c>
      <c r="H86" s="218" t="s">
        <v>371</v>
      </c>
      <c r="I86" s="218" t="s">
        <v>475</v>
      </c>
    </row>
    <row r="87" spans="1:9" x14ac:dyDescent="0.45">
      <c r="A87" s="218" t="s">
        <v>359</v>
      </c>
      <c r="B87" s="218" t="s">
        <v>440</v>
      </c>
      <c r="C87" s="235">
        <v>8961.7099999999991</v>
      </c>
      <c r="D87" s="220">
        <f>IF(H87="MY", C87, C87 * VLOOKUP(H87, $N$24:$O$32, 2, FALSE))</f>
        <v>20416.567722</v>
      </c>
      <c r="E87" s="234">
        <f>G87*2.2782</f>
        <v>20416.567722</v>
      </c>
      <c r="F87" s="222">
        <f>(G87/C87)-1</f>
        <v>0</v>
      </c>
      <c r="G87" s="219">
        <v>8961.7099999999991</v>
      </c>
      <c r="H87" s="218" t="s">
        <v>441</v>
      </c>
      <c r="I87" s="218" t="s">
        <v>475</v>
      </c>
    </row>
    <row r="88" spans="1:9" x14ac:dyDescent="0.45">
      <c r="A88" s="218" t="s">
        <v>359</v>
      </c>
      <c r="B88" s="218" t="s">
        <v>481</v>
      </c>
      <c r="C88" s="235">
        <v>478847.7</v>
      </c>
      <c r="D88" s="220">
        <f>IF(H88="MY", C88, C88 * VLOOKUP(H88, $N$24:$O$32, 2, FALSE))</f>
        <v>478847.7</v>
      </c>
      <c r="E88" s="234">
        <f>G88*1</f>
        <v>478847.7</v>
      </c>
      <c r="F88" s="222">
        <f>(G88/C88)-1</f>
        <v>0</v>
      </c>
      <c r="G88" s="219">
        <v>478847.7</v>
      </c>
      <c r="H88" s="218" t="s">
        <v>381</v>
      </c>
      <c r="I88" s="218" t="s">
        <v>480</v>
      </c>
    </row>
    <row r="89" spans="1:9" x14ac:dyDescent="0.45">
      <c r="A89" s="218" t="s">
        <v>376</v>
      </c>
      <c r="B89" s="218" t="s">
        <v>482</v>
      </c>
      <c r="C89" s="235">
        <v>195119.46</v>
      </c>
      <c r="D89" s="220">
        <f>IF(H89="MY", C89, C89 * VLOOKUP(H89, $N$24:$O$32, 2, FALSE))</f>
        <v>195119.46</v>
      </c>
      <c r="E89" s="234">
        <f>G89*1</f>
        <v>195119.46</v>
      </c>
      <c r="F89" s="222">
        <f>(G89/C89)-1</f>
        <v>0</v>
      </c>
      <c r="G89" s="219">
        <v>195119.46</v>
      </c>
      <c r="H89" s="218" t="s">
        <v>381</v>
      </c>
      <c r="I89" s="218" t="s">
        <v>480</v>
      </c>
    </row>
    <row r="90" spans="1:9" x14ac:dyDescent="0.45">
      <c r="A90" s="218" t="s">
        <v>376</v>
      </c>
      <c r="B90" s="218" t="s">
        <v>414</v>
      </c>
      <c r="C90" s="235">
        <v>36078.1</v>
      </c>
      <c r="D90" s="220">
        <f>IF(H90="MY", C90, C90 * VLOOKUP(H90, $N$24:$O$32, 2, FALSE))</f>
        <v>36078.1</v>
      </c>
      <c r="E90" s="234">
        <v>36078.1</v>
      </c>
      <c r="F90" s="222">
        <f>(G90/C90)-1</f>
        <v>0</v>
      </c>
      <c r="G90" s="219">
        <v>36078.1</v>
      </c>
      <c r="H90" s="218" t="s">
        <v>381</v>
      </c>
      <c r="I90" s="218" t="s">
        <v>475</v>
      </c>
    </row>
    <row r="91" spans="1:9" x14ac:dyDescent="0.45">
      <c r="A91" s="218" t="s">
        <v>376</v>
      </c>
      <c r="B91" s="218" t="s">
        <v>415</v>
      </c>
      <c r="C91" s="235">
        <v>50184</v>
      </c>
      <c r="D91" s="220">
        <f>IF(H91="MY", C91, C91 * VLOOKUP(H91, $N$24:$O$32, 2, FALSE))</f>
        <v>50184</v>
      </c>
      <c r="E91" s="234">
        <f>C91*1.025</f>
        <v>51438.6</v>
      </c>
      <c r="F91" s="222">
        <f>(G91/C91)-1</f>
        <v>2.4999999999999911E-2</v>
      </c>
      <c r="G91" s="219">
        <v>51438.6</v>
      </c>
      <c r="H91" s="218" t="s">
        <v>381</v>
      </c>
      <c r="I91" s="218" t="s">
        <v>479</v>
      </c>
    </row>
    <row r="92" spans="1:9" x14ac:dyDescent="0.45">
      <c r="A92" s="218" t="s">
        <v>376</v>
      </c>
      <c r="B92" s="218" t="s">
        <v>416</v>
      </c>
      <c r="C92" s="235">
        <v>5000</v>
      </c>
      <c r="D92" s="220">
        <f>IF(H92="MY", C92, C92 * VLOOKUP(H92, $N$24:$O$32, 2, FALSE))</f>
        <v>5000</v>
      </c>
      <c r="E92" s="234">
        <f>C92*1.0215</f>
        <v>5107.5</v>
      </c>
      <c r="F92" s="222">
        <f>(G92/C92)-1</f>
        <v>2.1500000000000075E-2</v>
      </c>
      <c r="G92" s="219">
        <v>5107.5</v>
      </c>
      <c r="H92" s="218" t="s">
        <v>381</v>
      </c>
      <c r="I92" s="218" t="s">
        <v>479</v>
      </c>
    </row>
    <row r="93" spans="1:9" x14ac:dyDescent="0.45">
      <c r="A93" s="218" t="s">
        <v>376</v>
      </c>
      <c r="B93" s="218" t="s">
        <v>417</v>
      </c>
      <c r="C93" s="235">
        <v>900.16</v>
      </c>
      <c r="D93" s="220">
        <f>IF(H93="MY", C93, C93 * VLOOKUP(H93, $N$24:$O$32, 2, FALSE))</f>
        <v>900.16</v>
      </c>
      <c r="E93" s="234">
        <v>900.16</v>
      </c>
      <c r="F93" s="222">
        <f>(G93/C93)-1</f>
        <v>0</v>
      </c>
      <c r="G93" s="219">
        <v>900.16</v>
      </c>
      <c r="H93" s="218" t="s">
        <v>381</v>
      </c>
      <c r="I93" s="218" t="s">
        <v>475</v>
      </c>
    </row>
    <row r="94" spans="1:9" ht="14.35" thickBot="1" x14ac:dyDescent="0.5">
      <c r="A94" s="218" t="s">
        <v>376</v>
      </c>
      <c r="B94" s="225" t="s">
        <v>419</v>
      </c>
      <c r="C94" s="236">
        <v>1331468.8999999999</v>
      </c>
      <c r="D94" s="227">
        <f>IF(H94="MY", C94, C94 * VLOOKUP(H94, $N$24:$O$32, 2, FALSE))</f>
        <v>172425.22255000001</v>
      </c>
      <c r="E94" s="237">
        <f>G94*0.1295</f>
        <v>172425.22255000001</v>
      </c>
      <c r="F94" s="229">
        <f>(G94/C94)-1</f>
        <v>0</v>
      </c>
      <c r="G94" s="219">
        <v>1331468.8999999999</v>
      </c>
      <c r="H94" s="218" t="s">
        <v>423</v>
      </c>
      <c r="I94" s="218" t="s">
        <v>475</v>
      </c>
    </row>
    <row r="95" spans="1:9" ht="14.35" thickBot="1" x14ac:dyDescent="0.5">
      <c r="B95" s="238" t="s">
        <v>362</v>
      </c>
      <c r="C95" s="239"/>
      <c r="D95" s="240">
        <f>SUM(D65:D94)</f>
        <v>1499151.720429</v>
      </c>
      <c r="E95" s="240">
        <f>SUM(E65:E94)</f>
        <v>1500513.8204290001</v>
      </c>
      <c r="F95" s="233">
        <f>(E95/D95)-1</f>
        <v>9.0858048684383519E-4</v>
      </c>
    </row>
    <row r="100" spans="1:17" ht="14.35" thickBot="1" x14ac:dyDescent="0.5">
      <c r="A100" s="242" t="s">
        <v>358</v>
      </c>
      <c r="B100" s="242" t="s">
        <v>478</v>
      </c>
      <c r="C100" s="242" t="s">
        <v>360</v>
      </c>
      <c r="D100" s="242" t="s">
        <v>361</v>
      </c>
      <c r="E100" s="242" t="s">
        <v>363</v>
      </c>
      <c r="F100" s="242" t="s">
        <v>364</v>
      </c>
      <c r="G100" s="242" t="s">
        <v>353</v>
      </c>
      <c r="H100" s="242" t="s">
        <v>352</v>
      </c>
      <c r="I100" s="242" t="s">
        <v>370</v>
      </c>
      <c r="J100" s="241"/>
      <c r="K100" s="242" t="s">
        <v>379</v>
      </c>
      <c r="L100" s="242" t="s">
        <v>380</v>
      </c>
      <c r="O100" s="242" t="s">
        <v>362</v>
      </c>
      <c r="P100" s="242" t="s">
        <v>359</v>
      </c>
      <c r="Q100" s="242" t="s">
        <v>376</v>
      </c>
    </row>
    <row r="101" spans="1:17" ht="14.35" thickBot="1" x14ac:dyDescent="0.5">
      <c r="A101" s="218" t="s">
        <v>359</v>
      </c>
      <c r="B101" s="218" t="s">
        <v>366</v>
      </c>
      <c r="C101" s="220">
        <v>2.94</v>
      </c>
      <c r="D101" s="244">
        <v>34000</v>
      </c>
      <c r="E101" s="245">
        <f>C101*D101</f>
        <v>99960</v>
      </c>
      <c r="F101" s="246">
        <v>2.21</v>
      </c>
      <c r="G101" s="247">
        <f>(F101/C101)-1</f>
        <v>-0.24829931972789121</v>
      </c>
      <c r="H101" s="237">
        <f>D101*F101</f>
        <v>75140</v>
      </c>
      <c r="I101" s="217">
        <v>1</v>
      </c>
      <c r="J101" s="218" t="s">
        <v>373</v>
      </c>
      <c r="K101" s="245">
        <f>D101*F101</f>
        <v>75140</v>
      </c>
      <c r="L101" s="218" t="s">
        <v>381</v>
      </c>
      <c r="O101" s="253">
        <f>SUM(P101:Q101)</f>
        <v>524294.26389499998</v>
      </c>
      <c r="P101" s="211">
        <f>SUMIFS($H$101:$H$127, $A$101:$A$127, P100)</f>
        <v>305807.96287300001</v>
      </c>
      <c r="Q101" s="211">
        <f>SUMIFS($H$101:$H$127, $A$101:$A$127, Q100)</f>
        <v>218486.30102199997</v>
      </c>
    </row>
    <row r="102" spans="1:17" x14ac:dyDescent="0.45">
      <c r="A102" s="218" t="s">
        <v>359</v>
      </c>
      <c r="B102" s="218" t="s">
        <v>365</v>
      </c>
      <c r="C102" s="234">
        <v>214.61</v>
      </c>
      <c r="D102" s="248">
        <v>880</v>
      </c>
      <c r="E102" s="245">
        <f>C102*D102</f>
        <v>188856.80000000002</v>
      </c>
      <c r="F102" s="246">
        <v>152.69999999999999</v>
      </c>
      <c r="G102" s="247">
        <f>(F102/C102)-1</f>
        <v>-0.28847677181864784</v>
      </c>
      <c r="H102" s="237">
        <f t="shared" ref="H102:H104" si="19">D102*F102*I102</f>
        <v>71152.09199999999</v>
      </c>
      <c r="I102" s="217">
        <v>0.52949999999999997</v>
      </c>
      <c r="J102" s="218" t="s">
        <v>374</v>
      </c>
      <c r="K102" s="245">
        <f>D102*F102</f>
        <v>134376</v>
      </c>
      <c r="L102" s="218" t="s">
        <v>372</v>
      </c>
    </row>
    <row r="103" spans="1:17" x14ac:dyDescent="0.45">
      <c r="A103" s="218" t="s">
        <v>359</v>
      </c>
      <c r="B103" s="218" t="s">
        <v>367</v>
      </c>
      <c r="C103" s="234">
        <v>6.1</v>
      </c>
      <c r="D103" s="248">
        <v>15480</v>
      </c>
      <c r="E103" s="245">
        <f>C103*D103</f>
        <v>94428</v>
      </c>
      <c r="F103" s="246">
        <v>5.72</v>
      </c>
      <c r="G103" s="247">
        <f>(F103/C103)-1</f>
        <v>-6.2295081967213117E-2</v>
      </c>
      <c r="H103" s="237">
        <f t="shared" si="19"/>
        <v>46884.895199999992</v>
      </c>
      <c r="I103" s="217">
        <v>0.52949999999999997</v>
      </c>
      <c r="J103" s="218" t="s">
        <v>374</v>
      </c>
      <c r="K103" s="245">
        <f t="shared" ref="K103:K127" si="20">D103*F103</f>
        <v>88545.599999999991</v>
      </c>
      <c r="L103" s="218" t="s">
        <v>372</v>
      </c>
    </row>
    <row r="104" spans="1:17" x14ac:dyDescent="0.45">
      <c r="A104" s="218" t="s">
        <v>359</v>
      </c>
      <c r="B104" s="218" t="s">
        <v>368</v>
      </c>
      <c r="C104" s="234">
        <v>314.76</v>
      </c>
      <c r="D104" s="248">
        <v>1200</v>
      </c>
      <c r="E104" s="245">
        <f>C104*D104</f>
        <v>377712</v>
      </c>
      <c r="F104" s="246">
        <v>98.1</v>
      </c>
      <c r="G104" s="247">
        <f>(F104/C104)-1</f>
        <v>-0.68833396873808617</v>
      </c>
      <c r="H104" s="237">
        <f t="shared" si="19"/>
        <v>62332.74</v>
      </c>
      <c r="I104" s="217">
        <v>0.52949999999999997</v>
      </c>
      <c r="J104" s="218" t="s">
        <v>374</v>
      </c>
      <c r="K104" s="245">
        <f t="shared" si="20"/>
        <v>117720</v>
      </c>
      <c r="L104" s="218" t="s">
        <v>372</v>
      </c>
    </row>
    <row r="105" spans="1:17" x14ac:dyDescent="0.45">
      <c r="A105" s="218" t="s">
        <v>359</v>
      </c>
      <c r="B105" s="218" t="s">
        <v>369</v>
      </c>
      <c r="C105" s="234">
        <v>15</v>
      </c>
      <c r="D105" s="248">
        <v>301</v>
      </c>
      <c r="E105" s="245">
        <f>C105*D105</f>
        <v>4515</v>
      </c>
      <c r="F105" s="246">
        <v>40.57</v>
      </c>
      <c r="G105" s="247">
        <f>(F105/C105)-1</f>
        <v>1.7046666666666668</v>
      </c>
      <c r="H105" s="237">
        <f>D105*F105*I105</f>
        <v>50298.235672999996</v>
      </c>
      <c r="I105" s="217">
        <v>4.1189</v>
      </c>
      <c r="J105" s="218" t="s">
        <v>375</v>
      </c>
      <c r="K105" s="245">
        <f t="shared" si="20"/>
        <v>12211.57</v>
      </c>
      <c r="L105" s="218" t="s">
        <v>371</v>
      </c>
    </row>
    <row r="106" spans="1:17" x14ac:dyDescent="0.45">
      <c r="A106" s="218" t="s">
        <v>376</v>
      </c>
      <c r="B106" s="218" t="s">
        <v>377</v>
      </c>
      <c r="C106" s="234">
        <v>425</v>
      </c>
      <c r="D106" s="248">
        <v>81</v>
      </c>
      <c r="E106" s="245">
        <f>C106*D106</f>
        <v>34425</v>
      </c>
      <c r="F106" s="246">
        <v>439.58</v>
      </c>
      <c r="G106" s="247">
        <f>(F106/C106)-1</f>
        <v>3.4305882352941186E-2</v>
      </c>
      <c r="H106" s="237">
        <f>D106*F106*I106</f>
        <v>146657.47102199998</v>
      </c>
      <c r="I106" s="217">
        <v>4.1189</v>
      </c>
      <c r="J106" s="218" t="s">
        <v>375</v>
      </c>
      <c r="K106" s="245">
        <f t="shared" si="20"/>
        <v>35605.979999999996</v>
      </c>
      <c r="L106" s="218" t="s">
        <v>371</v>
      </c>
    </row>
    <row r="107" spans="1:17" x14ac:dyDescent="0.45">
      <c r="A107" s="218" t="s">
        <v>376</v>
      </c>
      <c r="B107" s="218" t="s">
        <v>382</v>
      </c>
      <c r="C107" s="234">
        <v>1.3</v>
      </c>
      <c r="D107" s="248">
        <v>2000</v>
      </c>
      <c r="E107" s="245">
        <f>C107*D107</f>
        <v>2600</v>
      </c>
      <c r="F107" s="246">
        <v>1.03</v>
      </c>
      <c r="G107" s="247">
        <f>(F107/C107)-1</f>
        <v>-0.20769230769230773</v>
      </c>
      <c r="H107" s="237">
        <f t="shared" ref="H107:H127" si="21">D107*F107*I107</f>
        <v>2060</v>
      </c>
      <c r="I107" s="217">
        <v>1</v>
      </c>
      <c r="J107" s="218" t="s">
        <v>373</v>
      </c>
      <c r="K107" s="245">
        <f t="shared" si="20"/>
        <v>2060</v>
      </c>
      <c r="L107" s="218" t="s">
        <v>381</v>
      </c>
    </row>
    <row r="108" spans="1:17" x14ac:dyDescent="0.45">
      <c r="A108" s="218" t="s">
        <v>376</v>
      </c>
      <c r="B108" s="218" t="s">
        <v>383</v>
      </c>
      <c r="C108" s="234">
        <v>2.96</v>
      </c>
      <c r="D108" s="248">
        <v>1000</v>
      </c>
      <c r="E108" s="245">
        <f>C108*D108</f>
        <v>2960</v>
      </c>
      <c r="F108" s="246">
        <v>6.14</v>
      </c>
      <c r="G108" s="247">
        <f>(F108/C108)-1</f>
        <v>1.0743243243243241</v>
      </c>
      <c r="H108" s="237">
        <f t="shared" si="21"/>
        <v>6140</v>
      </c>
      <c r="I108" s="217">
        <v>1</v>
      </c>
      <c r="J108" s="218" t="s">
        <v>373</v>
      </c>
      <c r="K108" s="245">
        <f t="shared" si="20"/>
        <v>6140</v>
      </c>
      <c r="L108" s="218" t="s">
        <v>381</v>
      </c>
    </row>
    <row r="109" spans="1:17" x14ac:dyDescent="0.45">
      <c r="A109" s="218" t="s">
        <v>376</v>
      </c>
      <c r="B109" s="218" t="s">
        <v>384</v>
      </c>
      <c r="C109" s="234">
        <v>0.21</v>
      </c>
      <c r="D109" s="248">
        <v>1000</v>
      </c>
      <c r="E109" s="245">
        <f>C109*D109</f>
        <v>210</v>
      </c>
      <c r="F109" s="246">
        <v>0.105</v>
      </c>
      <c r="G109" s="247">
        <f>(F109/C109)-1</f>
        <v>-0.5</v>
      </c>
      <c r="H109" s="237">
        <f t="shared" si="21"/>
        <v>105</v>
      </c>
      <c r="I109" s="217">
        <v>1</v>
      </c>
      <c r="J109" s="218" t="s">
        <v>373</v>
      </c>
      <c r="K109" s="245">
        <f t="shared" si="20"/>
        <v>105</v>
      </c>
      <c r="L109" s="218" t="s">
        <v>381</v>
      </c>
    </row>
    <row r="110" spans="1:17" x14ac:dyDescent="0.45">
      <c r="A110" s="218" t="s">
        <v>376</v>
      </c>
      <c r="B110" s="218" t="s">
        <v>402</v>
      </c>
      <c r="C110" s="234">
        <v>0.90500000000000003</v>
      </c>
      <c r="D110" s="248">
        <v>2000</v>
      </c>
      <c r="E110" s="245">
        <f>C110*D110</f>
        <v>1810</v>
      </c>
      <c r="F110" s="246">
        <v>0.4</v>
      </c>
      <c r="G110" s="247">
        <f>(F110/C110)-1</f>
        <v>-0.55801104972375692</v>
      </c>
      <c r="H110" s="237">
        <f t="shared" si="21"/>
        <v>800</v>
      </c>
      <c r="I110" s="217">
        <v>1</v>
      </c>
      <c r="J110" s="218" t="s">
        <v>373</v>
      </c>
      <c r="K110" s="245">
        <f t="shared" si="20"/>
        <v>800</v>
      </c>
      <c r="L110" s="218" t="s">
        <v>381</v>
      </c>
    </row>
    <row r="111" spans="1:17" x14ac:dyDescent="0.45">
      <c r="A111" s="218" t="s">
        <v>376</v>
      </c>
      <c r="B111" s="218" t="s">
        <v>385</v>
      </c>
      <c r="C111" s="234">
        <v>4.6900000000000004</v>
      </c>
      <c r="D111" s="248">
        <v>2000</v>
      </c>
      <c r="E111" s="245">
        <f>C111*D111</f>
        <v>9380</v>
      </c>
      <c r="F111" s="246">
        <v>7.83</v>
      </c>
      <c r="G111" s="247">
        <f>(F111/C111)-1</f>
        <v>0.66950959488272899</v>
      </c>
      <c r="H111" s="237">
        <f t="shared" si="21"/>
        <v>15660</v>
      </c>
      <c r="I111" s="217">
        <v>1</v>
      </c>
      <c r="J111" s="218" t="s">
        <v>373</v>
      </c>
      <c r="K111" s="245">
        <f t="shared" si="20"/>
        <v>15660</v>
      </c>
      <c r="L111" s="218" t="s">
        <v>381</v>
      </c>
    </row>
    <row r="112" spans="1:17" x14ac:dyDescent="0.45">
      <c r="A112" s="218" t="s">
        <v>376</v>
      </c>
      <c r="B112" s="218" t="s">
        <v>386</v>
      </c>
      <c r="C112" s="234">
        <v>0.125</v>
      </c>
      <c r="D112" s="248">
        <v>66</v>
      </c>
      <c r="E112" s="245">
        <f>C112*D112</f>
        <v>8.25</v>
      </c>
      <c r="F112" s="246">
        <v>0.1</v>
      </c>
      <c r="G112" s="247">
        <f>(F112/C112)-1</f>
        <v>-0.19999999999999996</v>
      </c>
      <c r="H112" s="237">
        <f t="shared" si="21"/>
        <v>6.6000000000000005</v>
      </c>
      <c r="I112" s="217">
        <v>1</v>
      </c>
      <c r="J112" s="218" t="s">
        <v>373</v>
      </c>
      <c r="K112" s="245">
        <f t="shared" si="20"/>
        <v>6.6000000000000005</v>
      </c>
      <c r="L112" s="218" t="s">
        <v>381</v>
      </c>
    </row>
    <row r="113" spans="1:12" x14ac:dyDescent="0.45">
      <c r="A113" s="218" t="s">
        <v>376</v>
      </c>
      <c r="B113" s="218" t="s">
        <v>387</v>
      </c>
      <c r="C113" s="234">
        <v>2.83</v>
      </c>
      <c r="D113" s="248">
        <v>5000</v>
      </c>
      <c r="E113" s="245">
        <f>C113*D113</f>
        <v>14150</v>
      </c>
      <c r="F113" s="246">
        <v>2.1</v>
      </c>
      <c r="G113" s="247">
        <f>(F113/C113)-1</f>
        <v>-0.25795053003533563</v>
      </c>
      <c r="H113" s="237">
        <f t="shared" si="21"/>
        <v>10500</v>
      </c>
      <c r="I113" s="217">
        <v>1</v>
      </c>
      <c r="J113" s="218" t="s">
        <v>373</v>
      </c>
      <c r="K113" s="245">
        <f t="shared" si="20"/>
        <v>10500</v>
      </c>
      <c r="L113" s="218" t="s">
        <v>381</v>
      </c>
    </row>
    <row r="114" spans="1:12" x14ac:dyDescent="0.45">
      <c r="A114" s="218" t="s">
        <v>376</v>
      </c>
      <c r="B114" s="218" t="s">
        <v>388</v>
      </c>
      <c r="C114" s="234">
        <v>0.47499999999999998</v>
      </c>
      <c r="D114" s="248">
        <v>10300</v>
      </c>
      <c r="E114" s="245">
        <f>C114*D114</f>
        <v>4892.5</v>
      </c>
      <c r="F114" s="246">
        <v>0.39</v>
      </c>
      <c r="G114" s="247">
        <f>(F114/C114)-1</f>
        <v>-0.17894736842105252</v>
      </c>
      <c r="H114" s="237">
        <f t="shared" si="21"/>
        <v>4017</v>
      </c>
      <c r="I114" s="217">
        <v>1</v>
      </c>
      <c r="J114" s="218" t="s">
        <v>373</v>
      </c>
      <c r="K114" s="245">
        <f t="shared" si="20"/>
        <v>4017</v>
      </c>
      <c r="L114" s="218" t="s">
        <v>381</v>
      </c>
    </row>
    <row r="115" spans="1:12" x14ac:dyDescent="0.45">
      <c r="A115" s="218" t="s">
        <v>376</v>
      </c>
      <c r="B115" s="218" t="s">
        <v>390</v>
      </c>
      <c r="C115" s="234">
        <v>0.875</v>
      </c>
      <c r="D115" s="248">
        <v>5000</v>
      </c>
      <c r="E115" s="245">
        <f>C115*D115</f>
        <v>4375</v>
      </c>
      <c r="F115" s="246">
        <v>0.995</v>
      </c>
      <c r="G115" s="247">
        <f>(F115/C115)-1</f>
        <v>0.13714285714285723</v>
      </c>
      <c r="H115" s="237">
        <f t="shared" si="21"/>
        <v>4975</v>
      </c>
      <c r="I115" s="217">
        <v>1</v>
      </c>
      <c r="J115" s="218" t="s">
        <v>373</v>
      </c>
      <c r="K115" s="245">
        <f t="shared" si="20"/>
        <v>4975</v>
      </c>
      <c r="L115" s="218" t="s">
        <v>381</v>
      </c>
    </row>
    <row r="116" spans="1:12" x14ac:dyDescent="0.45">
      <c r="A116" s="218" t="s">
        <v>376</v>
      </c>
      <c r="B116" s="218" t="s">
        <v>389</v>
      </c>
      <c r="C116" s="234">
        <v>8.19</v>
      </c>
      <c r="D116" s="248">
        <v>1000</v>
      </c>
      <c r="E116" s="245">
        <f>C116*D116</f>
        <v>8189.9999999999991</v>
      </c>
      <c r="F116" s="246">
        <v>10.14</v>
      </c>
      <c r="G116" s="247">
        <f>(F116/C116)-1</f>
        <v>0.23809523809523814</v>
      </c>
      <c r="H116" s="237">
        <f t="shared" si="21"/>
        <v>10140</v>
      </c>
      <c r="I116" s="217">
        <v>1</v>
      </c>
      <c r="J116" s="218" t="s">
        <v>373</v>
      </c>
      <c r="K116" s="245">
        <f t="shared" si="20"/>
        <v>10140</v>
      </c>
      <c r="L116" s="218" t="s">
        <v>381</v>
      </c>
    </row>
    <row r="117" spans="1:12" x14ac:dyDescent="0.45">
      <c r="A117" s="218" t="s">
        <v>376</v>
      </c>
      <c r="B117" s="218" t="s">
        <v>391</v>
      </c>
      <c r="C117" s="234">
        <v>0.87</v>
      </c>
      <c r="D117" s="248">
        <v>10</v>
      </c>
      <c r="E117" s="245">
        <f>C117*D117</f>
        <v>8.6999999999999993</v>
      </c>
      <c r="F117" s="246">
        <v>0.42</v>
      </c>
      <c r="G117" s="247">
        <f>(F117/C117)-1</f>
        <v>-0.51724137931034486</v>
      </c>
      <c r="H117" s="237">
        <f t="shared" si="21"/>
        <v>4.2</v>
      </c>
      <c r="I117" s="217">
        <v>1</v>
      </c>
      <c r="J117" s="218" t="s">
        <v>373</v>
      </c>
      <c r="K117" s="245">
        <f t="shared" si="20"/>
        <v>4.2</v>
      </c>
      <c r="L117" s="218" t="s">
        <v>381</v>
      </c>
    </row>
    <row r="118" spans="1:12" x14ac:dyDescent="0.45">
      <c r="A118" s="218" t="s">
        <v>376</v>
      </c>
      <c r="B118" s="218" t="s">
        <v>392</v>
      </c>
      <c r="C118" s="234">
        <v>2.52</v>
      </c>
      <c r="D118" s="248">
        <v>12</v>
      </c>
      <c r="E118" s="245">
        <f>C118*D118</f>
        <v>30.240000000000002</v>
      </c>
      <c r="F118" s="246">
        <v>8.5000000000000006E-2</v>
      </c>
      <c r="G118" s="247">
        <f>(F118/C118)-1</f>
        <v>-0.96626984126984128</v>
      </c>
      <c r="H118" s="237">
        <f t="shared" si="21"/>
        <v>1.02</v>
      </c>
      <c r="I118" s="217">
        <v>1</v>
      </c>
      <c r="J118" s="218" t="s">
        <v>373</v>
      </c>
      <c r="K118" s="220">
        <f t="shared" si="20"/>
        <v>1.02</v>
      </c>
      <c r="L118" s="218" t="s">
        <v>381</v>
      </c>
    </row>
    <row r="119" spans="1:12" x14ac:dyDescent="0.45">
      <c r="A119" s="218" t="s">
        <v>376</v>
      </c>
      <c r="B119" s="218" t="s">
        <v>393</v>
      </c>
      <c r="C119" s="234">
        <v>8.5000000000000006E-2</v>
      </c>
      <c r="D119" s="248">
        <v>2000</v>
      </c>
      <c r="E119" s="245">
        <f>C119*D119</f>
        <v>170</v>
      </c>
      <c r="F119" s="246">
        <v>5.5E-2</v>
      </c>
      <c r="G119" s="247">
        <f>(F119/C119)-1</f>
        <v>-0.35294117647058831</v>
      </c>
      <c r="H119" s="237">
        <f t="shared" si="21"/>
        <v>110</v>
      </c>
      <c r="I119" s="217">
        <v>1</v>
      </c>
      <c r="J119" s="218" t="s">
        <v>373</v>
      </c>
      <c r="K119" s="220">
        <f t="shared" si="20"/>
        <v>110</v>
      </c>
      <c r="L119" s="218" t="s">
        <v>381</v>
      </c>
    </row>
    <row r="120" spans="1:12" x14ac:dyDescent="0.45">
      <c r="A120" s="218" t="s">
        <v>376</v>
      </c>
      <c r="B120" s="218" t="s">
        <v>394</v>
      </c>
      <c r="C120" s="234">
        <v>0.44</v>
      </c>
      <c r="D120" s="248">
        <v>33</v>
      </c>
      <c r="E120" s="245">
        <f>C120*D120</f>
        <v>14.52</v>
      </c>
      <c r="F120" s="246">
        <v>6.5000000000000002E-2</v>
      </c>
      <c r="G120" s="247">
        <f>(F120/C120)-1</f>
        <v>-0.85227272727272729</v>
      </c>
      <c r="H120" s="237">
        <f t="shared" si="21"/>
        <v>2.145</v>
      </c>
      <c r="I120" s="217">
        <v>1</v>
      </c>
      <c r="J120" s="218" t="s">
        <v>373</v>
      </c>
      <c r="K120" s="220">
        <f t="shared" si="20"/>
        <v>2.145</v>
      </c>
      <c r="L120" s="218" t="s">
        <v>381</v>
      </c>
    </row>
    <row r="121" spans="1:12" x14ac:dyDescent="0.45">
      <c r="A121" s="218" t="s">
        <v>376</v>
      </c>
      <c r="B121" s="218" t="s">
        <v>395</v>
      </c>
      <c r="C121" s="234">
        <v>0.88</v>
      </c>
      <c r="D121" s="248">
        <v>6918</v>
      </c>
      <c r="E121" s="245">
        <f>C121*D121</f>
        <v>6087.84</v>
      </c>
      <c r="F121" s="246">
        <v>1.38</v>
      </c>
      <c r="G121" s="247">
        <f>(F121/C121)-1</f>
        <v>0.56818181818181812</v>
      </c>
      <c r="H121" s="237">
        <f t="shared" si="21"/>
        <v>9546.84</v>
      </c>
      <c r="I121" s="217">
        <v>1</v>
      </c>
      <c r="J121" s="218" t="s">
        <v>373</v>
      </c>
      <c r="K121" s="220">
        <f t="shared" si="20"/>
        <v>9546.84</v>
      </c>
      <c r="L121" s="218" t="s">
        <v>381</v>
      </c>
    </row>
    <row r="122" spans="1:12" x14ac:dyDescent="0.45">
      <c r="A122" s="218" t="s">
        <v>376</v>
      </c>
      <c r="B122" s="218" t="s">
        <v>396</v>
      </c>
      <c r="C122" s="234">
        <v>0.245</v>
      </c>
      <c r="D122" s="248">
        <v>7291</v>
      </c>
      <c r="E122" s="245">
        <f>C122*D122</f>
        <v>1786.2950000000001</v>
      </c>
      <c r="F122" s="246">
        <v>0.25</v>
      </c>
      <c r="G122" s="247">
        <f>(F122/C122)-1</f>
        <v>2.0408163265306145E-2</v>
      </c>
      <c r="H122" s="237">
        <f t="shared" si="21"/>
        <v>1822.75</v>
      </c>
      <c r="I122" s="217">
        <v>1</v>
      </c>
      <c r="J122" s="218" t="s">
        <v>373</v>
      </c>
      <c r="K122" s="220">
        <f t="shared" si="20"/>
        <v>1822.75</v>
      </c>
      <c r="L122" s="218" t="s">
        <v>381</v>
      </c>
    </row>
    <row r="123" spans="1:12" x14ac:dyDescent="0.45">
      <c r="A123" s="218" t="s">
        <v>376</v>
      </c>
      <c r="B123" s="218" t="s">
        <v>397</v>
      </c>
      <c r="C123" s="234">
        <v>0.215</v>
      </c>
      <c r="D123" s="248">
        <v>15159</v>
      </c>
      <c r="E123" s="245">
        <f>C123*D123</f>
        <v>3259.1849999999999</v>
      </c>
      <c r="F123" s="246">
        <v>0.22500000000000001</v>
      </c>
      <c r="G123" s="247">
        <f>(F123/C123)-1</f>
        <v>4.6511627906976827E-2</v>
      </c>
      <c r="H123" s="237">
        <f t="shared" si="21"/>
        <v>3410.7750000000001</v>
      </c>
      <c r="I123" s="217">
        <v>1</v>
      </c>
      <c r="J123" s="218" t="s">
        <v>373</v>
      </c>
      <c r="K123" s="220">
        <f t="shared" si="20"/>
        <v>3410.7750000000001</v>
      </c>
      <c r="L123" s="218" t="s">
        <v>381</v>
      </c>
    </row>
    <row r="124" spans="1:12" x14ac:dyDescent="0.45">
      <c r="A124" s="218" t="s">
        <v>376</v>
      </c>
      <c r="B124" s="218" t="s">
        <v>398</v>
      </c>
      <c r="C124" s="234">
        <v>0.42499999999999999</v>
      </c>
      <c r="D124" s="248">
        <v>7000</v>
      </c>
      <c r="E124" s="245">
        <f>C124*D124</f>
        <v>2975</v>
      </c>
      <c r="F124" s="246">
        <v>0.32500000000000001</v>
      </c>
      <c r="G124" s="247">
        <f>(F124/C124)-1</f>
        <v>-0.23529411764705876</v>
      </c>
      <c r="H124" s="237">
        <f t="shared" si="21"/>
        <v>2275</v>
      </c>
      <c r="I124" s="217">
        <v>1</v>
      </c>
      <c r="J124" s="218" t="s">
        <v>373</v>
      </c>
      <c r="K124" s="220">
        <f t="shared" si="20"/>
        <v>2275</v>
      </c>
      <c r="L124" s="218" t="s">
        <v>381</v>
      </c>
    </row>
    <row r="125" spans="1:12" x14ac:dyDescent="0.45">
      <c r="A125" s="218" t="s">
        <v>376</v>
      </c>
      <c r="B125" s="218" t="s">
        <v>399</v>
      </c>
      <c r="C125" s="234">
        <v>0.13500000000000001</v>
      </c>
      <c r="D125" s="248">
        <v>350</v>
      </c>
      <c r="E125" s="245">
        <f>C125*D125</f>
        <v>47.25</v>
      </c>
      <c r="F125" s="246">
        <v>0.28000000000000003</v>
      </c>
      <c r="G125" s="247">
        <f>(F125/C125)-1</f>
        <v>1.074074074074074</v>
      </c>
      <c r="H125" s="237">
        <f t="shared" si="21"/>
        <v>98.000000000000014</v>
      </c>
      <c r="I125" s="217">
        <v>1</v>
      </c>
      <c r="J125" s="218" t="s">
        <v>373</v>
      </c>
      <c r="K125" s="220">
        <f t="shared" si="20"/>
        <v>98.000000000000014</v>
      </c>
      <c r="L125" s="218" t="s">
        <v>381</v>
      </c>
    </row>
    <row r="126" spans="1:12" x14ac:dyDescent="0.45">
      <c r="A126" s="218" t="s">
        <v>376</v>
      </c>
      <c r="B126" s="218" t="s">
        <v>400</v>
      </c>
      <c r="C126" s="234">
        <v>0.64500000000000002</v>
      </c>
      <c r="D126" s="248">
        <v>4000</v>
      </c>
      <c r="E126" s="245">
        <f>C126*D126</f>
        <v>2580</v>
      </c>
      <c r="F126" s="246">
        <v>0.03</v>
      </c>
      <c r="G126" s="247">
        <f>(F126/C126)-1</f>
        <v>-0.95348837209302328</v>
      </c>
      <c r="H126" s="237">
        <f t="shared" si="21"/>
        <v>120</v>
      </c>
      <c r="I126" s="217">
        <v>1</v>
      </c>
      <c r="J126" s="218" t="s">
        <v>373</v>
      </c>
      <c r="K126" s="220">
        <f t="shared" si="20"/>
        <v>120</v>
      </c>
      <c r="L126" s="218" t="s">
        <v>381</v>
      </c>
    </row>
    <row r="127" spans="1:12" ht="14.35" thickBot="1" x14ac:dyDescent="0.5">
      <c r="A127" s="218" t="s">
        <v>376</v>
      </c>
      <c r="B127" s="218" t="s">
        <v>401</v>
      </c>
      <c r="C127" s="234">
        <v>0.81</v>
      </c>
      <c r="D127" s="248">
        <v>75</v>
      </c>
      <c r="E127" s="245">
        <f>C127*D127</f>
        <v>60.750000000000007</v>
      </c>
      <c r="F127" s="246">
        <v>0.46</v>
      </c>
      <c r="G127" s="247">
        <f>(F127/C127)-1</f>
        <v>-0.4320987654320988</v>
      </c>
      <c r="H127" s="237">
        <f t="shared" si="21"/>
        <v>34.5</v>
      </c>
      <c r="I127" s="217">
        <v>1</v>
      </c>
      <c r="J127" s="218" t="s">
        <v>373</v>
      </c>
      <c r="K127" s="220">
        <f t="shared" si="20"/>
        <v>34.5</v>
      </c>
      <c r="L127" s="218" t="s">
        <v>381</v>
      </c>
    </row>
    <row r="128" spans="1:12" ht="14.35" thickBot="1" x14ac:dyDescent="0.5">
      <c r="H128" s="240">
        <f>SUM(H101:H127)</f>
        <v>524294.2638950001</v>
      </c>
    </row>
  </sheetData>
  <mergeCells count="4">
    <mergeCell ref="B2:F2"/>
    <mergeCell ref="I2:L2"/>
    <mergeCell ref="M2:P2"/>
    <mergeCell ref="H1:P1"/>
  </mergeCells>
  <phoneticPr fontId="19" type="noConversion"/>
  <conditionalFormatting sqref="F24:F48">
    <cfRule type="cellIs" dxfId="9" priority="9" operator="lessThan">
      <formula>0</formula>
    </cfRule>
  </conditionalFormatting>
  <conditionalFormatting sqref="G101:G127">
    <cfRule type="cellIs" dxfId="8" priority="8" operator="lessThan">
      <formula>0</formula>
    </cfRule>
  </conditionalFormatting>
  <conditionalFormatting sqref="F49:F53">
    <cfRule type="cellIs" dxfId="6" priority="7" operator="lessThan">
      <formula>0</formula>
    </cfRule>
  </conditionalFormatting>
  <conditionalFormatting sqref="F54:F59">
    <cfRule type="cellIs" dxfId="5" priority="6" operator="lessThan">
      <formula>0</formula>
    </cfRule>
  </conditionalFormatting>
  <conditionalFormatting sqref="F65">
    <cfRule type="cellIs" dxfId="4" priority="5" operator="lessThan">
      <formula>0</formula>
    </cfRule>
  </conditionalFormatting>
  <conditionalFormatting sqref="F66:F75">
    <cfRule type="cellIs" dxfId="3" priority="4" operator="lessThan">
      <formula>0</formula>
    </cfRule>
  </conditionalFormatting>
  <conditionalFormatting sqref="F76:F89">
    <cfRule type="cellIs" dxfId="2" priority="3" operator="lessThan">
      <formula>0</formula>
    </cfRule>
  </conditionalFormatting>
  <conditionalFormatting sqref="F90:F94">
    <cfRule type="cellIs" dxfId="1" priority="2" operator="lessThan">
      <formula>0</formula>
    </cfRule>
  </conditionalFormatting>
  <conditionalFormatting sqref="F95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F29"/>
  <sheetViews>
    <sheetView topLeftCell="A8" zoomScale="80" zoomScaleNormal="80" workbookViewId="0">
      <selection activeCell="E19" sqref="E19"/>
    </sheetView>
  </sheetViews>
  <sheetFormatPr defaultColWidth="9" defaultRowHeight="14" x14ac:dyDescent="0.45"/>
  <cols>
    <col min="3" max="4" width="39.64453125" customWidth="1"/>
    <col min="5" max="5" width="39.3515625" customWidth="1"/>
    <col min="6" max="6" width="11.05859375" customWidth="1"/>
  </cols>
  <sheetData>
    <row r="2" spans="2:6" x14ac:dyDescent="0.45">
      <c r="B2" s="207" t="s">
        <v>294</v>
      </c>
      <c r="C2" s="208"/>
      <c r="D2" s="208"/>
      <c r="E2" s="208"/>
      <c r="F2" s="209"/>
    </row>
    <row r="3" spans="2:6" ht="27.7" customHeight="1" x14ac:dyDescent="0.45">
      <c r="B3" s="2">
        <v>1</v>
      </c>
      <c r="C3" s="3" t="s">
        <v>295</v>
      </c>
      <c r="D3" s="3" t="s">
        <v>296</v>
      </c>
      <c r="E3" s="3" t="s">
        <v>297</v>
      </c>
      <c r="F3" s="4"/>
    </row>
    <row r="4" spans="2:6" ht="27.7" customHeight="1" x14ac:dyDescent="0.45">
      <c r="B4" s="5"/>
      <c r="C4" s="6" t="s">
        <v>298</v>
      </c>
      <c r="D4" s="7">
        <f>'Net Worth'!E11</f>
        <v>3099306.28</v>
      </c>
      <c r="E4" s="7">
        <f>CashFlow!F39</f>
        <v>16364.96</v>
      </c>
      <c r="F4" s="8">
        <f>D4/E4</f>
        <v>189.38673116218999</v>
      </c>
    </row>
    <row r="5" spans="2:6" ht="27.7" customHeight="1" x14ac:dyDescent="0.45">
      <c r="B5" s="5"/>
      <c r="C5" s="9" t="s">
        <v>299</v>
      </c>
      <c r="D5" s="10"/>
      <c r="E5" s="10"/>
      <c r="F5" s="11" t="s">
        <v>300</v>
      </c>
    </row>
    <row r="6" spans="2:6" ht="27.7" customHeight="1" x14ac:dyDescent="0.45">
      <c r="B6" s="2">
        <v>2</v>
      </c>
      <c r="C6" s="3" t="s">
        <v>301</v>
      </c>
      <c r="D6" s="3" t="s">
        <v>302</v>
      </c>
      <c r="E6" s="3" t="s">
        <v>297</v>
      </c>
      <c r="F6" s="12"/>
    </row>
    <row r="7" spans="2:6" ht="27.7" customHeight="1" x14ac:dyDescent="0.45">
      <c r="B7" s="5"/>
      <c r="C7" s="6" t="s">
        <v>303</v>
      </c>
      <c r="D7" s="7">
        <f>SUM('Net Worth'!E11,'Net Worth'!E16)</f>
        <v>3850630.28</v>
      </c>
      <c r="E7" s="7">
        <f>CashFlow!F39</f>
        <v>16364.96</v>
      </c>
      <c r="F7" s="8">
        <f>D7/E7</f>
        <v>235.29726195481101</v>
      </c>
    </row>
    <row r="8" spans="2:6" ht="27.7" customHeight="1" x14ac:dyDescent="0.45">
      <c r="B8" s="5"/>
      <c r="C8" s="9" t="s">
        <v>299</v>
      </c>
      <c r="D8" s="10"/>
      <c r="E8" s="10"/>
      <c r="F8" s="11" t="s">
        <v>300</v>
      </c>
    </row>
    <row r="9" spans="2:6" ht="27.7" customHeight="1" x14ac:dyDescent="0.45">
      <c r="B9" s="13">
        <v>3</v>
      </c>
      <c r="C9" s="13" t="s">
        <v>304</v>
      </c>
      <c r="D9" s="13" t="s">
        <v>58</v>
      </c>
      <c r="E9" s="13" t="s">
        <v>305</v>
      </c>
      <c r="F9" s="14" t="s">
        <v>66</v>
      </c>
    </row>
    <row r="10" spans="2:6" ht="27.7" customHeight="1" x14ac:dyDescent="0.45">
      <c r="B10" s="5"/>
      <c r="C10" s="6" t="s">
        <v>306</v>
      </c>
      <c r="D10" s="7">
        <f>CashFlow!E23</f>
        <v>0</v>
      </c>
      <c r="E10" s="7">
        <f>CashFlow!F17</f>
        <v>19705</v>
      </c>
      <c r="F10" s="15">
        <f>D10/E10</f>
        <v>0</v>
      </c>
    </row>
    <row r="11" spans="2:6" ht="27.7" customHeight="1" x14ac:dyDescent="0.45">
      <c r="B11" s="5"/>
      <c r="C11" s="9" t="s">
        <v>307</v>
      </c>
      <c r="D11" s="10"/>
      <c r="E11" s="10"/>
      <c r="F11" s="11">
        <v>10</v>
      </c>
    </row>
    <row r="12" spans="2:6" ht="27.7" customHeight="1" x14ac:dyDescent="0.45">
      <c r="B12" s="2">
        <v>4</v>
      </c>
      <c r="C12" s="3" t="s">
        <v>308</v>
      </c>
      <c r="D12" s="3" t="s">
        <v>309</v>
      </c>
      <c r="E12" s="3" t="s">
        <v>310</v>
      </c>
      <c r="F12" s="4" t="s">
        <v>66</v>
      </c>
    </row>
    <row r="13" spans="2:6" ht="27.7" customHeight="1" x14ac:dyDescent="0.45">
      <c r="B13" s="5"/>
      <c r="C13" s="6" t="s">
        <v>311</v>
      </c>
      <c r="D13" s="7">
        <f>'Net Worth'!E11</f>
        <v>3099306.28</v>
      </c>
      <c r="E13" s="7">
        <f>'Net Worth'!M16</f>
        <v>17263139.837400001</v>
      </c>
      <c r="F13" s="16">
        <f>D13/E13</f>
        <v>0.179533173524173</v>
      </c>
    </row>
    <row r="14" spans="2:6" ht="27.7" customHeight="1" x14ac:dyDescent="0.45">
      <c r="B14" s="5"/>
      <c r="C14" s="9" t="s">
        <v>307</v>
      </c>
      <c r="D14" s="10"/>
      <c r="E14" s="10"/>
      <c r="F14" s="11">
        <v>15</v>
      </c>
    </row>
    <row r="15" spans="2:6" ht="27.7" customHeight="1" x14ac:dyDescent="0.45">
      <c r="B15" s="2">
        <v>5</v>
      </c>
      <c r="C15" s="3" t="s">
        <v>312</v>
      </c>
      <c r="D15" s="3" t="s">
        <v>313</v>
      </c>
      <c r="E15" s="3" t="s">
        <v>314</v>
      </c>
      <c r="F15" s="4" t="s">
        <v>66</v>
      </c>
    </row>
    <row r="16" spans="2:6" ht="27.7" customHeight="1" x14ac:dyDescent="0.45">
      <c r="B16" s="5"/>
      <c r="C16" s="6" t="s">
        <v>315</v>
      </c>
      <c r="D16" s="7">
        <f>'Net Worth'!M15</f>
        <v>610</v>
      </c>
      <c r="E16" s="7">
        <f>'Net Worth'!E29</f>
        <v>17263749.837400001</v>
      </c>
      <c r="F16" s="16">
        <f>D16/E16</f>
        <v>3.5334154268066499E-5</v>
      </c>
    </row>
    <row r="17" spans="2:6" ht="27.7" customHeight="1" x14ac:dyDescent="0.45">
      <c r="B17" s="5"/>
      <c r="C17" s="9" t="s">
        <v>316</v>
      </c>
      <c r="D17" s="10"/>
      <c r="E17" s="10"/>
      <c r="F17" s="11">
        <v>50</v>
      </c>
    </row>
    <row r="18" spans="2:6" ht="27.7" customHeight="1" x14ac:dyDescent="0.45">
      <c r="B18" s="2">
        <v>6</v>
      </c>
      <c r="C18" s="3" t="s">
        <v>317</v>
      </c>
      <c r="D18" s="3" t="s">
        <v>318</v>
      </c>
      <c r="E18" s="3" t="s">
        <v>319</v>
      </c>
      <c r="F18" s="4" t="s">
        <v>66</v>
      </c>
    </row>
    <row r="19" spans="2:6" ht="27.7" customHeight="1" x14ac:dyDescent="0.45">
      <c r="B19" s="5"/>
      <c r="C19" s="6" t="s">
        <v>320</v>
      </c>
      <c r="D19" s="7">
        <f>SUM(CashFlow!E20,CashFlow!E21,CashFlow!E22)/12</f>
        <v>0</v>
      </c>
      <c r="E19" s="7">
        <f>(CashFlow!E17-CashFlow!E10-CashFlow!E37)/12</f>
        <v>18664.166666666668</v>
      </c>
      <c r="F19" s="16">
        <f>D19/E19</f>
        <v>0</v>
      </c>
    </row>
    <row r="20" spans="2:6" ht="27.7" customHeight="1" x14ac:dyDescent="0.45">
      <c r="B20" s="5"/>
      <c r="C20" s="9" t="s">
        <v>316</v>
      </c>
      <c r="D20" s="10"/>
      <c r="E20" s="10"/>
      <c r="F20" s="11">
        <v>35</v>
      </c>
    </row>
    <row r="21" spans="2:6" ht="27.7" customHeight="1" x14ac:dyDescent="0.45">
      <c r="B21" s="2">
        <v>7</v>
      </c>
      <c r="C21" s="3" t="s">
        <v>321</v>
      </c>
      <c r="D21" s="3" t="s">
        <v>322</v>
      </c>
      <c r="E21" s="3" t="s">
        <v>323</v>
      </c>
      <c r="F21" s="4" t="s">
        <v>66</v>
      </c>
    </row>
    <row r="22" spans="2:6" ht="27.7" customHeight="1" x14ac:dyDescent="0.45">
      <c r="B22" s="5"/>
      <c r="C22" s="6" t="s">
        <v>324</v>
      </c>
      <c r="D22" s="7">
        <f>CashFlow!E22</f>
        <v>0</v>
      </c>
      <c r="E22" s="7">
        <f>(CashFlow!E17-CashFlow!E10-CashFlow!E37)</f>
        <v>223970</v>
      </c>
      <c r="F22" s="11">
        <f>D22/E22</f>
        <v>0</v>
      </c>
    </row>
    <row r="23" spans="2:6" ht="27.7" customHeight="1" x14ac:dyDescent="0.45">
      <c r="B23" s="5"/>
      <c r="C23" s="9" t="s">
        <v>316</v>
      </c>
      <c r="D23" s="10"/>
      <c r="E23" s="10"/>
      <c r="F23" s="11">
        <v>15</v>
      </c>
    </row>
    <row r="24" spans="2:6" ht="27.7" customHeight="1" x14ac:dyDescent="0.45">
      <c r="B24" s="2">
        <v>8</v>
      </c>
      <c r="C24" s="3" t="s">
        <v>325</v>
      </c>
      <c r="D24" s="3" t="s">
        <v>326</v>
      </c>
      <c r="E24" s="3" t="s">
        <v>310</v>
      </c>
      <c r="F24" s="4" t="s">
        <v>66</v>
      </c>
    </row>
    <row r="25" spans="2:6" ht="27.7" customHeight="1" x14ac:dyDescent="0.45">
      <c r="B25" s="5"/>
      <c r="C25" s="6" t="s">
        <v>327</v>
      </c>
      <c r="D25" s="7">
        <f>'Net Worth'!E21</f>
        <v>3947243.5573999998</v>
      </c>
      <c r="E25" s="7">
        <f>'Net Worth'!M16</f>
        <v>17263139.837400001</v>
      </c>
      <c r="F25" s="16">
        <f>D25/E25</f>
        <v>0.22865154280036801</v>
      </c>
    </row>
    <row r="26" spans="2:6" ht="27.7" customHeight="1" x14ac:dyDescent="0.45">
      <c r="B26" s="5"/>
      <c r="C26" s="9" t="s">
        <v>328</v>
      </c>
      <c r="D26" s="10"/>
      <c r="E26" s="10"/>
      <c r="F26" s="11">
        <v>35</v>
      </c>
    </row>
    <row r="27" spans="2:6" ht="27.7" customHeight="1" x14ac:dyDescent="0.45">
      <c r="B27" s="2">
        <v>9</v>
      </c>
      <c r="C27" s="3" t="s">
        <v>329</v>
      </c>
      <c r="D27" s="3" t="s">
        <v>330</v>
      </c>
      <c r="E27" s="3" t="s">
        <v>314</v>
      </c>
      <c r="F27" s="4" t="s">
        <v>66</v>
      </c>
    </row>
    <row r="28" spans="2:6" ht="27.7" customHeight="1" x14ac:dyDescent="0.45">
      <c r="B28" s="5"/>
      <c r="C28" s="6" t="s">
        <v>331</v>
      </c>
      <c r="D28" s="7">
        <f>'Net Worth'!M16</f>
        <v>17263139.837400001</v>
      </c>
      <c r="E28" s="7">
        <f>'Net Worth'!E29</f>
        <v>17263749.837400001</v>
      </c>
      <c r="F28" s="16">
        <f>D28/E28</f>
        <v>0.99996466584573196</v>
      </c>
    </row>
    <row r="29" spans="2:6" ht="27.7" customHeight="1" x14ac:dyDescent="0.45">
      <c r="B29" s="5"/>
      <c r="C29" s="9" t="s">
        <v>328</v>
      </c>
      <c r="D29" s="10"/>
      <c r="E29" s="10"/>
      <c r="F29" s="11">
        <v>50</v>
      </c>
    </row>
  </sheetData>
  <mergeCells count="1">
    <mergeCell ref="B2:F2"/>
  </mergeCells>
  <phoneticPr fontId="2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3:J15"/>
  <sheetViews>
    <sheetView workbookViewId="0">
      <selection activeCell="C15" sqref="C15"/>
    </sheetView>
  </sheetViews>
  <sheetFormatPr defaultColWidth="8.8203125" defaultRowHeight="14" x14ac:dyDescent="0.45"/>
  <cols>
    <col min="2" max="2" width="12.64453125" customWidth="1"/>
    <col min="3" max="3" width="25.1171875" customWidth="1"/>
    <col min="5" max="5" width="18.9375" customWidth="1"/>
    <col min="6" max="6" width="26.703125" customWidth="1"/>
    <col min="7" max="7" width="13.3515625" customWidth="1"/>
    <col min="8" max="8" width="19.234375" customWidth="1"/>
    <col min="9" max="9" width="14.9375" customWidth="1"/>
    <col min="10" max="10" width="13.29296875" customWidth="1"/>
  </cols>
  <sheetData>
    <row r="3" spans="2:10" x14ac:dyDescent="0.45">
      <c r="B3" s="1" t="s">
        <v>332</v>
      </c>
      <c r="C3" s="1" t="s">
        <v>333</v>
      </c>
      <c r="D3" s="1" t="s">
        <v>334</v>
      </c>
      <c r="E3" s="1" t="s">
        <v>335</v>
      </c>
      <c r="F3" s="1" t="s">
        <v>336</v>
      </c>
      <c r="G3" s="1" t="s">
        <v>337</v>
      </c>
      <c r="H3" s="1" t="s">
        <v>338</v>
      </c>
      <c r="I3" s="1" t="s">
        <v>339</v>
      </c>
      <c r="J3" s="1" t="s">
        <v>340</v>
      </c>
    </row>
    <row r="4" spans="2:10" x14ac:dyDescent="0.45">
      <c r="B4" s="1" t="s">
        <v>341</v>
      </c>
      <c r="C4" s="1">
        <v>6000</v>
      </c>
      <c r="D4" s="1">
        <v>6000</v>
      </c>
      <c r="E4" s="1"/>
      <c r="F4" s="1"/>
      <c r="G4" s="1"/>
      <c r="H4" s="1"/>
      <c r="I4" s="1">
        <v>1328.65</v>
      </c>
      <c r="J4" s="1">
        <v>0</v>
      </c>
    </row>
    <row r="5" spans="2:10" x14ac:dyDescent="0.45">
      <c r="B5" s="1" t="s">
        <v>342</v>
      </c>
      <c r="C5" s="1">
        <v>6000</v>
      </c>
      <c r="D5" s="1">
        <v>6000</v>
      </c>
      <c r="E5" s="1"/>
      <c r="F5" s="1"/>
      <c r="G5" s="1"/>
      <c r="H5" s="1"/>
      <c r="I5" s="1">
        <v>1382.58</v>
      </c>
      <c r="J5" s="1">
        <v>0</v>
      </c>
    </row>
    <row r="6" spans="2:10" x14ac:dyDescent="0.45">
      <c r="B6" s="1" t="s">
        <v>343</v>
      </c>
      <c r="C6" s="1">
        <v>70000</v>
      </c>
      <c r="D6" s="1">
        <v>70000</v>
      </c>
      <c r="E6" s="1"/>
      <c r="F6" s="1"/>
      <c r="G6" s="1"/>
      <c r="H6" s="1"/>
      <c r="I6" s="1">
        <v>149484.48000000001</v>
      </c>
      <c r="J6" s="1">
        <f>10634.76*2</f>
        <v>21269.52</v>
      </c>
    </row>
    <row r="7" spans="2:10" x14ac:dyDescent="0.45">
      <c r="B7" s="1" t="s">
        <v>344</v>
      </c>
      <c r="C7" s="1">
        <v>77500</v>
      </c>
      <c r="D7" s="1">
        <v>77500</v>
      </c>
      <c r="E7" s="1"/>
      <c r="F7" s="1"/>
      <c r="G7" s="1"/>
      <c r="H7" s="1"/>
      <c r="I7" s="1">
        <v>122839.73</v>
      </c>
      <c r="J7" s="1">
        <v>0</v>
      </c>
    </row>
    <row r="8" spans="2:10" x14ac:dyDescent="0.45">
      <c r="B8" s="1" t="s">
        <v>345</v>
      </c>
      <c r="C8" s="1">
        <v>6000</v>
      </c>
      <c r="D8" s="1">
        <v>6000</v>
      </c>
      <c r="E8" s="1"/>
      <c r="F8" s="1"/>
      <c r="G8" s="1"/>
      <c r="H8" s="1"/>
      <c r="I8" s="1">
        <v>1087.83</v>
      </c>
      <c r="J8" s="1">
        <v>0</v>
      </c>
    </row>
    <row r="9" spans="2:10" x14ac:dyDescent="0.45">
      <c r="B9" s="1" t="s">
        <v>346</v>
      </c>
      <c r="C9" s="1">
        <v>50000</v>
      </c>
      <c r="D9" s="1">
        <v>50000</v>
      </c>
      <c r="E9" s="1">
        <v>50000</v>
      </c>
      <c r="F9" s="1">
        <v>50000</v>
      </c>
      <c r="G9" s="1">
        <v>200</v>
      </c>
      <c r="H9" s="1">
        <v>10000000</v>
      </c>
      <c r="I9" s="1">
        <v>3625.01</v>
      </c>
      <c r="J9" s="1">
        <v>6800</v>
      </c>
    </row>
    <row r="10" spans="2:10" x14ac:dyDescent="0.45">
      <c r="B10" s="1"/>
      <c r="C10" s="1"/>
      <c r="D10" s="1"/>
      <c r="E10" s="1"/>
      <c r="F10" s="1"/>
      <c r="G10" s="1"/>
      <c r="H10" s="1"/>
      <c r="I10" s="1"/>
      <c r="J10" s="1"/>
    </row>
    <row r="11" spans="2:10" x14ac:dyDescent="0.45">
      <c r="B11" s="1" t="s">
        <v>347</v>
      </c>
      <c r="C11" s="1">
        <v>32000</v>
      </c>
      <c r="D11" s="1">
        <v>32000</v>
      </c>
      <c r="E11" s="1"/>
      <c r="F11" s="1"/>
      <c r="G11" s="1"/>
      <c r="H11" s="1"/>
      <c r="I11" s="1"/>
      <c r="J11" s="1">
        <v>0</v>
      </c>
    </row>
    <row r="12" spans="2:10" x14ac:dyDescent="0.45">
      <c r="B12" s="1" t="s">
        <v>348</v>
      </c>
      <c r="C12" s="1">
        <v>6000</v>
      </c>
      <c r="D12" s="1">
        <v>6000</v>
      </c>
      <c r="E12" s="1"/>
      <c r="F12" s="1"/>
      <c r="G12" s="1"/>
      <c r="H12" s="1"/>
      <c r="I12" s="1">
        <v>802.77</v>
      </c>
      <c r="J12" s="1">
        <v>0</v>
      </c>
    </row>
    <row r="13" spans="2:10" x14ac:dyDescent="0.45">
      <c r="B13" s="1" t="s">
        <v>349</v>
      </c>
      <c r="C13" s="1">
        <v>50000</v>
      </c>
      <c r="D13" s="1">
        <v>50000</v>
      </c>
      <c r="E13" s="1">
        <v>50000</v>
      </c>
      <c r="F13" s="1">
        <v>50000</v>
      </c>
      <c r="G13" s="1">
        <v>200</v>
      </c>
      <c r="H13" s="1">
        <v>10000000</v>
      </c>
      <c r="I13" s="1">
        <v>3089.04</v>
      </c>
      <c r="J13" s="1">
        <v>5900</v>
      </c>
    </row>
    <row r="15" spans="2:10" x14ac:dyDescent="0.45">
      <c r="B15">
        <v>31442809</v>
      </c>
    </row>
  </sheetData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CashFlow</vt:lpstr>
      <vt:lpstr>Net Worth</vt:lpstr>
      <vt:lpstr>Loan</vt:lpstr>
      <vt:lpstr>Risk</vt:lpstr>
      <vt:lpstr>Education</vt:lpstr>
      <vt:lpstr>Tax</vt:lpstr>
      <vt:lpstr>Retirement</vt:lpstr>
      <vt:lpstr>Investment</vt:lpstr>
      <vt:lpstr>Fin Ratio</vt:lpstr>
      <vt:lpstr>Coverage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cheongyewwee@gmail.com</dc:creator>
  <cp:lastModifiedBy>a81102</cp:lastModifiedBy>
  <dcterms:created xsi:type="dcterms:W3CDTF">2025-02-02T10:36:00Z</dcterms:created>
  <dcterms:modified xsi:type="dcterms:W3CDTF">2025-12-10T14:23:04Z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2E0DDA872A9F4C349902EE49AC4D0CE8_13</vt:lpwstr>
  </property>
  <property fmtid="{D5CDD505-2E9C-101B-9397-08002B2CF9AE}" pid="3" name="KSOProductBuildVer">
    <vt:lpwstr>2057-12.2.0.21179</vt:lpwstr>
  </property>
</Properties>
</file>